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2175\Desktop\Bakhit\SIP\SIP APP._Saten\"/>
    </mc:Choice>
  </mc:AlternateContent>
  <bookViews>
    <workbookView xWindow="0" yWindow="0" windowWidth="15360" windowHeight="6770" activeTab="3"/>
  </bookViews>
  <sheets>
    <sheet name="CSR Calculation _Ex." sheetId="5" r:id="rId1"/>
    <sheet name="VOC" sheetId="4" state="hidden" r:id="rId2"/>
    <sheet name="Scale Order" sheetId="1" r:id="rId3"/>
    <sheet name="CSR Calculation" sheetId="3" r:id="rId4"/>
    <sheet name="Payout Table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5" i="5" l="1"/>
  <c r="W46" i="5" s="1"/>
  <c r="W48" i="5" s="1"/>
  <c r="K45" i="5"/>
  <c r="N46" i="5" s="1"/>
  <c r="N48" i="5" s="1"/>
  <c r="B45" i="5"/>
  <c r="E46" i="5" s="1"/>
  <c r="V44" i="5"/>
  <c r="W44" i="5" s="1"/>
  <c r="U44" i="5"/>
  <c r="N44" i="5"/>
  <c r="M44" i="5"/>
  <c r="L44" i="5"/>
  <c r="D44" i="5"/>
  <c r="C44" i="5"/>
  <c r="E44" i="5" s="1"/>
  <c r="W43" i="5"/>
  <c r="V43" i="5"/>
  <c r="U43" i="5"/>
  <c r="N43" i="5"/>
  <c r="M43" i="5"/>
  <c r="L43" i="5"/>
  <c r="D43" i="5"/>
  <c r="C43" i="5"/>
  <c r="E43" i="5" s="1"/>
  <c r="V42" i="5"/>
  <c r="U42" i="5"/>
  <c r="W42" i="5" s="1"/>
  <c r="M42" i="5"/>
  <c r="L42" i="5"/>
  <c r="N42" i="5" s="1"/>
  <c r="D42" i="5"/>
  <c r="E42" i="5" s="1"/>
  <c r="C42" i="5"/>
  <c r="W41" i="5"/>
  <c r="V41" i="5"/>
  <c r="U41" i="5"/>
  <c r="M41" i="5"/>
  <c r="L41" i="5"/>
  <c r="N41" i="5" s="1"/>
  <c r="E41" i="5"/>
  <c r="D41" i="5"/>
  <c r="C41" i="5"/>
  <c r="W40" i="5"/>
  <c r="V40" i="5"/>
  <c r="U40" i="5"/>
  <c r="M40" i="5"/>
  <c r="L40" i="5"/>
  <c r="N40" i="5" s="1"/>
  <c r="D40" i="5"/>
  <c r="C40" i="5"/>
  <c r="E40" i="5" s="1"/>
  <c r="V39" i="5"/>
  <c r="M39" i="5"/>
  <c r="E39" i="5"/>
  <c r="D39" i="5"/>
  <c r="C39" i="5"/>
  <c r="V38" i="5"/>
  <c r="M38" i="5"/>
  <c r="E38" i="5"/>
  <c r="D38" i="5"/>
  <c r="C38" i="5"/>
  <c r="V37" i="5"/>
  <c r="M37" i="5"/>
  <c r="D37" i="5"/>
  <c r="C37" i="5"/>
  <c r="E37" i="5" s="1"/>
  <c r="V36" i="5"/>
  <c r="M36" i="5"/>
  <c r="D36" i="5"/>
  <c r="C36" i="5"/>
  <c r="E36" i="5" s="1"/>
  <c r="V35" i="5"/>
  <c r="M35" i="5"/>
  <c r="G35" i="5"/>
  <c r="D35" i="5"/>
  <c r="C35" i="5"/>
  <c r="E35" i="5" s="1"/>
  <c r="T30" i="5"/>
  <c r="W31" i="5" s="1"/>
  <c r="W33" i="5" s="1"/>
  <c r="K30" i="5"/>
  <c r="N31" i="5" s="1"/>
  <c r="N33" i="5" s="1"/>
  <c r="B30" i="5"/>
  <c r="E31" i="5" s="1"/>
  <c r="E33" i="5" s="1"/>
  <c r="V29" i="5"/>
  <c r="M29" i="5"/>
  <c r="D29" i="5"/>
  <c r="V28" i="5"/>
  <c r="M28" i="5"/>
  <c r="D28" i="5"/>
  <c r="V27" i="5"/>
  <c r="M27" i="5"/>
  <c r="D27" i="5"/>
  <c r="V26" i="5"/>
  <c r="M26" i="5"/>
  <c r="D26" i="5"/>
  <c r="V25" i="5"/>
  <c r="M25" i="5"/>
  <c r="D25" i="5"/>
  <c r="V24" i="5"/>
  <c r="M24" i="5"/>
  <c r="D24" i="5"/>
  <c r="V23" i="5"/>
  <c r="M23" i="5"/>
  <c r="D23" i="5"/>
  <c r="V22" i="5"/>
  <c r="M22" i="5"/>
  <c r="D22" i="5"/>
  <c r="V21" i="5"/>
  <c r="M21" i="5"/>
  <c r="D21" i="5"/>
  <c r="V20" i="5"/>
  <c r="M20" i="5"/>
  <c r="D20" i="5"/>
  <c r="V19" i="5"/>
  <c r="M19" i="5"/>
  <c r="D19" i="5"/>
  <c r="V18" i="5"/>
  <c r="M18" i="5"/>
  <c r="D18" i="5"/>
  <c r="T13" i="5"/>
  <c r="W14" i="5" s="1"/>
  <c r="W16" i="5" s="1"/>
  <c r="K13" i="5"/>
  <c r="N14" i="5" s="1"/>
  <c r="N16" i="5" s="1"/>
  <c r="B13" i="5"/>
  <c r="E14" i="5" s="1"/>
  <c r="E16" i="5" s="1"/>
  <c r="V12" i="5"/>
  <c r="M12" i="5"/>
  <c r="D12" i="5"/>
  <c r="V11" i="5"/>
  <c r="M11" i="5"/>
  <c r="D11" i="5"/>
  <c r="V10" i="5"/>
  <c r="M10" i="5"/>
  <c r="D10" i="5"/>
  <c r="V9" i="5"/>
  <c r="M9" i="5"/>
  <c r="D9" i="5"/>
  <c r="V8" i="5"/>
  <c r="M8" i="5"/>
  <c r="D8" i="5"/>
  <c r="V7" i="5"/>
  <c r="M7" i="5"/>
  <c r="D7" i="5"/>
  <c r="V6" i="5"/>
  <c r="M6" i="5"/>
  <c r="D6" i="5"/>
  <c r="V5" i="5"/>
  <c r="M5" i="5"/>
  <c r="D5" i="5"/>
  <c r="V4" i="5"/>
  <c r="M4" i="5"/>
  <c r="D4" i="5"/>
  <c r="V3" i="5"/>
  <c r="M3" i="5"/>
  <c r="D3" i="5"/>
  <c r="V2" i="5"/>
  <c r="M2" i="5"/>
  <c r="D2" i="5"/>
  <c r="U36" i="5" l="1"/>
  <c r="W36" i="5" s="1"/>
  <c r="U39" i="5"/>
  <c r="W39" i="5" s="1"/>
  <c r="U35" i="5"/>
  <c r="U38" i="5"/>
  <c r="W38" i="5" s="1"/>
  <c r="Y35" i="5"/>
  <c r="U37" i="5"/>
  <c r="W37" i="5" s="1"/>
  <c r="C10" i="5"/>
  <c r="E10" i="5" s="1"/>
  <c r="C9" i="5"/>
  <c r="E9" i="5" s="1"/>
  <c r="G2" i="5"/>
  <c r="C8" i="5"/>
  <c r="E8" i="5" s="1"/>
  <c r="C7" i="5"/>
  <c r="E7" i="5" s="1"/>
  <c r="C6" i="5"/>
  <c r="C4" i="5"/>
  <c r="E4" i="5" s="1"/>
  <c r="C12" i="5"/>
  <c r="E12" i="5" s="1"/>
  <c r="C11" i="5"/>
  <c r="E11" i="5" s="1"/>
  <c r="C5" i="5"/>
  <c r="E5" i="5" s="1"/>
  <c r="C2" i="5"/>
  <c r="C3" i="5"/>
  <c r="E3" i="5" s="1"/>
  <c r="L23" i="5"/>
  <c r="N23" i="5" s="1"/>
  <c r="L22" i="5"/>
  <c r="N22" i="5" s="1"/>
  <c r="L18" i="5"/>
  <c r="L29" i="5"/>
  <c r="N29" i="5" s="1"/>
  <c r="L21" i="5"/>
  <c r="N21" i="5" s="1"/>
  <c r="L28" i="5"/>
  <c r="N28" i="5" s="1"/>
  <c r="L20" i="5"/>
  <c r="N20" i="5" s="1"/>
  <c r="L26" i="5"/>
  <c r="N26" i="5" s="1"/>
  <c r="L25" i="5"/>
  <c r="N25" i="5" s="1"/>
  <c r="L27" i="5"/>
  <c r="N27" i="5" s="1"/>
  <c r="L19" i="5"/>
  <c r="N19" i="5" s="1"/>
  <c r="P18" i="5"/>
  <c r="L24" i="5"/>
  <c r="N24" i="5" s="1"/>
  <c r="C26" i="5"/>
  <c r="E26" i="5" s="1"/>
  <c r="C25" i="5"/>
  <c r="E25" i="5" s="1"/>
  <c r="C24" i="5"/>
  <c r="E24" i="5" s="1"/>
  <c r="G18" i="5"/>
  <c r="C27" i="5"/>
  <c r="E27" i="5" s="1"/>
  <c r="C23" i="5"/>
  <c r="E23" i="5" s="1"/>
  <c r="C29" i="5"/>
  <c r="E29" i="5" s="1"/>
  <c r="C20" i="5"/>
  <c r="E20" i="5" s="1"/>
  <c r="C22" i="5"/>
  <c r="E22" i="5" s="1"/>
  <c r="C21" i="5"/>
  <c r="E21" i="5" s="1"/>
  <c r="C28" i="5"/>
  <c r="E28" i="5" s="1"/>
  <c r="C19" i="5"/>
  <c r="E19" i="5" s="1"/>
  <c r="C18" i="5"/>
  <c r="U28" i="5"/>
  <c r="W28" i="5" s="1"/>
  <c r="U20" i="5"/>
  <c r="W20" i="5" s="1"/>
  <c r="Y18" i="5"/>
  <c r="U27" i="5"/>
  <c r="W27" i="5" s="1"/>
  <c r="U19" i="5"/>
  <c r="W19" i="5" s="1"/>
  <c r="U26" i="5"/>
  <c r="W26" i="5" s="1"/>
  <c r="U25" i="5"/>
  <c r="W25" i="5" s="1"/>
  <c r="U21" i="5"/>
  <c r="W21" i="5" s="1"/>
  <c r="U24" i="5"/>
  <c r="W24" i="5" s="1"/>
  <c r="U18" i="5"/>
  <c r="U23" i="5"/>
  <c r="W23" i="5" s="1"/>
  <c r="U29" i="5"/>
  <c r="W29" i="5" s="1"/>
  <c r="U22" i="5"/>
  <c r="W22" i="5" s="1"/>
  <c r="U12" i="5"/>
  <c r="W12" i="5" s="1"/>
  <c r="U3" i="5"/>
  <c r="W3" i="5" s="1"/>
  <c r="U11" i="5"/>
  <c r="W11" i="5" s="1"/>
  <c r="Y2" i="5"/>
  <c r="T51" i="5" s="1"/>
  <c r="U10" i="5"/>
  <c r="W10" i="5" s="1"/>
  <c r="U7" i="5"/>
  <c r="W7" i="5" s="1"/>
  <c r="U6" i="5"/>
  <c r="W6" i="5" s="1"/>
  <c r="U9" i="5"/>
  <c r="W9" i="5" s="1"/>
  <c r="U2" i="5"/>
  <c r="U8" i="5"/>
  <c r="W8" i="5" s="1"/>
  <c r="U5" i="5"/>
  <c r="W5" i="5" s="1"/>
  <c r="U4" i="5"/>
  <c r="W4" i="5" s="1"/>
  <c r="E45" i="5"/>
  <c r="F35" i="5" s="1"/>
  <c r="L7" i="5"/>
  <c r="N7" i="5" s="1"/>
  <c r="L2" i="5"/>
  <c r="L6" i="5"/>
  <c r="N6" i="5" s="1"/>
  <c r="L5" i="5"/>
  <c r="N5" i="5" s="1"/>
  <c r="L4" i="5"/>
  <c r="N4" i="5" s="1"/>
  <c r="L10" i="5"/>
  <c r="N10" i="5" s="1"/>
  <c r="L12" i="5"/>
  <c r="N12" i="5" s="1"/>
  <c r="L3" i="5"/>
  <c r="N3" i="5" s="1"/>
  <c r="L11" i="5"/>
  <c r="N11" i="5" s="1"/>
  <c r="P2" i="5"/>
  <c r="K51" i="5" s="1"/>
  <c r="L9" i="5"/>
  <c r="N9" i="5" s="1"/>
  <c r="L8" i="5"/>
  <c r="N8" i="5" s="1"/>
  <c r="L39" i="5"/>
  <c r="N39" i="5" s="1"/>
  <c r="L35" i="5"/>
  <c r="L38" i="5"/>
  <c r="N38" i="5" s="1"/>
  <c r="L37" i="5"/>
  <c r="N37" i="5" s="1"/>
  <c r="L36" i="5"/>
  <c r="N36" i="5" s="1"/>
  <c r="P35" i="5"/>
  <c r="C45" i="5"/>
  <c r="W2" i="5" l="1"/>
  <c r="W13" i="5" s="1"/>
  <c r="X2" i="5" s="1"/>
  <c r="U13" i="5"/>
  <c r="C30" i="5"/>
  <c r="E18" i="5"/>
  <c r="E30" i="5" s="1"/>
  <c r="F18" i="5" s="1"/>
  <c r="L30" i="5"/>
  <c r="N18" i="5"/>
  <c r="N30" i="5" s="1"/>
  <c r="O18" i="5" s="1"/>
  <c r="L13" i="5"/>
  <c r="N2" i="5"/>
  <c r="N13" i="5" s="1"/>
  <c r="O2" i="5" s="1"/>
  <c r="W35" i="5"/>
  <c r="W45" i="5" s="1"/>
  <c r="X35" i="5" s="1"/>
  <c r="U45" i="5"/>
  <c r="W18" i="5"/>
  <c r="W30" i="5" s="1"/>
  <c r="X18" i="5" s="1"/>
  <c r="U30" i="5"/>
  <c r="E2" i="5"/>
  <c r="E13" i="5" s="1"/>
  <c r="F2" i="5" s="1"/>
  <c r="A52" i="5" s="1"/>
  <c r="C13" i="5"/>
  <c r="L45" i="5"/>
  <c r="N35" i="5"/>
  <c r="N45" i="5" s="1"/>
  <c r="O35" i="5" s="1"/>
  <c r="B52" i="5"/>
  <c r="J51" i="5" l="1"/>
  <c r="M51" i="5" s="1"/>
  <c r="S51" i="5"/>
  <c r="V51" i="5" s="1"/>
  <c r="D52" i="5"/>
  <c r="P12" i="3" l="1"/>
  <c r="G2" i="3" l="1"/>
  <c r="P9" i="3"/>
  <c r="P8" i="3"/>
  <c r="B6" i="1"/>
  <c r="P4" i="3" l="1"/>
  <c r="P1" i="3"/>
  <c r="B5" i="1"/>
  <c r="D13" i="4" l="1"/>
  <c r="D14" i="4"/>
  <c r="D15" i="4"/>
  <c r="D16" i="4"/>
  <c r="D17" i="4"/>
  <c r="D12" i="4"/>
  <c r="C12" i="4"/>
  <c r="C17" i="4" s="1"/>
  <c r="C16" i="4" l="1"/>
  <c r="E16" i="4" s="1"/>
  <c r="E17" i="4"/>
  <c r="C15" i="4"/>
  <c r="E15" i="4" s="1"/>
  <c r="C14" i="4"/>
  <c r="E14" i="4" s="1"/>
  <c r="C13" i="4"/>
  <c r="E13" i="4" l="1"/>
  <c r="N2" i="3" l="1"/>
  <c r="D2" i="3" l="1"/>
  <c r="D20" i="3"/>
  <c r="I20" i="3"/>
  <c r="I2" i="3" l="1"/>
  <c r="D18" i="3" l="1"/>
  <c r="D12" i="3"/>
  <c r="I12" i="3" s="1"/>
  <c r="D11" i="3"/>
  <c r="I11" i="3" s="1"/>
  <c r="D10" i="3"/>
  <c r="I10" i="3" s="1"/>
  <c r="D9" i="3"/>
  <c r="I9" i="3" s="1"/>
  <c r="D8" i="3"/>
  <c r="I8" i="3" s="1"/>
  <c r="D7" i="3"/>
  <c r="I7" i="3" s="1"/>
  <c r="D6" i="3"/>
  <c r="I6" i="3" s="1"/>
  <c r="D5" i="3"/>
  <c r="I5" i="3" s="1"/>
  <c r="D4" i="3"/>
  <c r="I4" i="3" s="1"/>
  <c r="D3" i="3"/>
  <c r="D29" i="3"/>
  <c r="I29" i="3" s="1"/>
  <c r="D28" i="3"/>
  <c r="I28" i="3" s="1"/>
  <c r="D27" i="3"/>
  <c r="I27" i="3" s="1"/>
  <c r="D26" i="3"/>
  <c r="I26" i="3" s="1"/>
  <c r="D25" i="3"/>
  <c r="I25" i="3" s="1"/>
  <c r="D24" i="3"/>
  <c r="I24" i="3" s="1"/>
  <c r="D23" i="3"/>
  <c r="I23" i="3" s="1"/>
  <c r="D22" i="3"/>
  <c r="I22" i="3" s="1"/>
  <c r="D21" i="3"/>
  <c r="I21" i="3" s="1"/>
  <c r="D19" i="3"/>
  <c r="I19" i="3" s="1"/>
  <c r="I3" i="3" l="1"/>
  <c r="M4" i="3"/>
  <c r="M3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3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3" i="2"/>
  <c r="E19" i="3" l="1"/>
  <c r="E20" i="3"/>
  <c r="E21" i="3"/>
  <c r="E22" i="3"/>
  <c r="E23" i="3"/>
  <c r="E24" i="3"/>
  <c r="E25" i="3"/>
  <c r="E26" i="3"/>
  <c r="E27" i="3"/>
  <c r="E28" i="3"/>
  <c r="E29" i="3"/>
  <c r="B45" i="3" l="1"/>
  <c r="F46" i="3" s="1"/>
  <c r="F48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B30" i="3"/>
  <c r="F31" i="3" s="1"/>
  <c r="F33" i="3" s="1"/>
  <c r="E18" i="3"/>
  <c r="B13" i="3"/>
  <c r="E12" i="3"/>
  <c r="E11" i="3"/>
  <c r="E10" i="3"/>
  <c r="E9" i="3"/>
  <c r="E8" i="3"/>
  <c r="E7" i="3"/>
  <c r="E6" i="3"/>
  <c r="E5" i="3"/>
  <c r="E4" i="3"/>
  <c r="E3" i="3"/>
  <c r="E2" i="3"/>
  <c r="F14" i="3" l="1"/>
  <c r="F16" i="3" s="1"/>
  <c r="E35" i="3"/>
  <c r="M5" i="3"/>
  <c r="C38" i="3"/>
  <c r="F38" i="3" s="1"/>
  <c r="C40" i="3"/>
  <c r="F40" i="3" s="1"/>
  <c r="C41" i="3"/>
  <c r="C42" i="3"/>
  <c r="C37" i="3"/>
  <c r="F37" i="3" s="1"/>
  <c r="C39" i="3"/>
  <c r="F39" i="3" s="1"/>
  <c r="C43" i="3"/>
  <c r="F43" i="3" s="1"/>
  <c r="C36" i="3"/>
  <c r="F36" i="3" s="1"/>
  <c r="C44" i="3"/>
  <c r="F44" i="3" s="1"/>
  <c r="C35" i="3"/>
  <c r="F35" i="3" s="1"/>
  <c r="F41" i="3"/>
  <c r="F42" i="3"/>
  <c r="C21" i="3"/>
  <c r="C29" i="3"/>
  <c r="F29" i="3" s="1"/>
  <c r="C18" i="3"/>
  <c r="F18" i="3" s="1"/>
  <c r="C24" i="3"/>
  <c r="F24" i="3" s="1"/>
  <c r="C25" i="3"/>
  <c r="F25" i="3" s="1"/>
  <c r="C26" i="3"/>
  <c r="F26" i="3" s="1"/>
  <c r="C19" i="3"/>
  <c r="F19" i="3" s="1"/>
  <c r="C27" i="3"/>
  <c r="F27" i="3" s="1"/>
  <c r="C20" i="3"/>
  <c r="C22" i="3"/>
  <c r="C28" i="3"/>
  <c r="F28" i="3" s="1"/>
  <c r="C23" i="3"/>
  <c r="F23" i="3" s="1"/>
  <c r="F20" i="3"/>
  <c r="F21" i="3"/>
  <c r="F22" i="3"/>
  <c r="H18" i="3"/>
  <c r="H35" i="3"/>
  <c r="E45" i="3"/>
  <c r="E30" i="3"/>
  <c r="E13" i="3"/>
  <c r="C9" i="3" l="1"/>
  <c r="F9" i="3" s="1"/>
  <c r="C7" i="3"/>
  <c r="F7" i="3" s="1"/>
  <c r="C11" i="3"/>
  <c r="F11" i="3" s="1"/>
  <c r="C5" i="3"/>
  <c r="F5" i="3" s="1"/>
  <c r="C4" i="3"/>
  <c r="F4" i="3" s="1"/>
  <c r="C8" i="3"/>
  <c r="F8" i="3" s="1"/>
  <c r="C2" i="3"/>
  <c r="F2" i="3" s="1"/>
  <c r="C10" i="3"/>
  <c r="F10" i="3" s="1"/>
  <c r="C12" i="3"/>
  <c r="F12" i="3" s="1"/>
  <c r="C6" i="3"/>
  <c r="F6" i="3" s="1"/>
  <c r="C3" i="3"/>
  <c r="F3" i="3" s="1"/>
  <c r="C30" i="3"/>
  <c r="F30" i="3"/>
  <c r="G18" i="3" s="1"/>
  <c r="F45" i="3"/>
  <c r="G35" i="3" s="1"/>
  <c r="C45" i="3"/>
  <c r="H2" i="3"/>
  <c r="F13" i="3" l="1"/>
  <c r="C13" i="3"/>
</calcChain>
</file>

<file path=xl/comments1.xml><?xml version="1.0" encoding="utf-8"?>
<comments xmlns="http://schemas.openxmlformats.org/spreadsheetml/2006/main">
  <authors>
    <author>Yousuf Ibrahim Yousuf Almujeni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Yousuf Ibrahim Yousuf Almujeni:</t>
        </r>
        <r>
          <rPr>
            <sz val="9"/>
            <color indexed="81"/>
            <rFont val="Tahoma"/>
            <family val="2"/>
          </rPr>
          <t xml:space="preserve">
without Contrct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Yousuf Ibrahim Yousuf Almujeni:</t>
        </r>
        <r>
          <rPr>
            <sz val="9"/>
            <color indexed="81"/>
            <rFont val="Tahoma"/>
            <family val="2"/>
          </rPr>
          <t xml:space="preserve">
without Contrct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Yousuf Ibrahim Yousuf Almujeni:</t>
        </r>
        <r>
          <rPr>
            <sz val="9"/>
            <color indexed="81"/>
            <rFont val="Tahoma"/>
            <family val="2"/>
          </rPr>
          <t xml:space="preserve">
without Contrct</t>
        </r>
      </text>
    </comment>
  </commentList>
</comments>
</file>

<file path=xl/comments2.xml><?xml version="1.0" encoding="utf-8"?>
<comments xmlns="http://schemas.openxmlformats.org/spreadsheetml/2006/main">
  <authors>
    <author>Yousuf Ibrahim Yousuf Almujeni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Yousuf Ibrahim Yousuf Almujeni:</t>
        </r>
        <r>
          <rPr>
            <sz val="9"/>
            <color indexed="81"/>
            <rFont val="Tahoma"/>
            <family val="2"/>
          </rPr>
          <t xml:space="preserve">
without Contrct</t>
        </r>
      </text>
    </comment>
  </commentList>
</comments>
</file>

<file path=xl/sharedStrings.xml><?xml version="1.0" encoding="utf-8"?>
<sst xmlns="http://schemas.openxmlformats.org/spreadsheetml/2006/main" count="400" uniqueCount="98">
  <si>
    <t>CSR</t>
  </si>
  <si>
    <t>Weightage</t>
  </si>
  <si>
    <t>Services</t>
  </si>
  <si>
    <t>HBB</t>
  </si>
  <si>
    <t>BAQATI</t>
  </si>
  <si>
    <t>HAYYAK</t>
  </si>
  <si>
    <t>Upgrade</t>
  </si>
  <si>
    <t>Max.</t>
  </si>
  <si>
    <t>Quarterly Payout</t>
  </si>
  <si>
    <t>Unsatisfactory</t>
  </si>
  <si>
    <t>Almost Achieved</t>
  </si>
  <si>
    <t>Achieved</t>
  </si>
  <si>
    <t>Well- Achieved</t>
  </si>
  <si>
    <t>&gt;Outstanding</t>
  </si>
  <si>
    <t>% of Achievement Vs Target</t>
  </si>
  <si>
    <t>&lt;75%</t>
  </si>
  <si>
    <t>75-95%</t>
  </si>
  <si>
    <t>96-110%</t>
  </si>
  <si>
    <t>111-139%</t>
  </si>
  <si>
    <t>&gt;140%</t>
  </si>
  <si>
    <t>TOTAL PAY-OUT</t>
  </si>
  <si>
    <t>Achieve Percent</t>
  </si>
  <si>
    <t>Payout</t>
  </si>
  <si>
    <t>VALUE OF THE POINT</t>
  </si>
  <si>
    <t>Plan</t>
  </si>
  <si>
    <t>Total Active</t>
  </si>
  <si>
    <t>Rate Plan</t>
  </si>
  <si>
    <t>Total Points</t>
  </si>
  <si>
    <t>HBB 4 Mbps Unl-S</t>
  </si>
  <si>
    <t>HBB 8 Mbps Unl-M</t>
  </si>
  <si>
    <t>HBB 16 Mbps Unl-L</t>
  </si>
  <si>
    <t>ULTRA-20 Mbps-S</t>
  </si>
  <si>
    <t>ULTRA-40 Mbps-M</t>
  </si>
  <si>
    <t>ULTRA-80 Mbps-L</t>
  </si>
  <si>
    <t>ULTRA-200 Mbps-XL</t>
  </si>
  <si>
    <t>IPTV-20 Mbps-S</t>
  </si>
  <si>
    <t>IPTV-40 Mbps-M</t>
  </si>
  <si>
    <t>IPTV-80 Mbps-L</t>
  </si>
  <si>
    <t>IPTV-200 Mbps-XL</t>
  </si>
  <si>
    <t>Total Plan</t>
  </si>
  <si>
    <t>Sales</t>
  </si>
  <si>
    <t>Target</t>
  </si>
  <si>
    <t>Achav. %</t>
  </si>
  <si>
    <t>BAQATI Basic (Mada3)</t>
  </si>
  <si>
    <t>Baqati Al Ufuq</t>
  </si>
  <si>
    <t>BAQATI Data 15GB</t>
  </si>
  <si>
    <t>BAQATI Data 20GB</t>
  </si>
  <si>
    <t>BAQATI Data 40GB</t>
  </si>
  <si>
    <t>BAQATI Data 50GB</t>
  </si>
  <si>
    <t>Hayyak Basic 2</t>
  </si>
  <si>
    <t>HAYYAK PLUS 3</t>
  </si>
  <si>
    <t>HAYYAK PLUS 4</t>
  </si>
  <si>
    <t>HAYYAK PLUS 6</t>
  </si>
  <si>
    <t>HAYYAK PLUS 10</t>
  </si>
  <si>
    <t>HYW-3</t>
  </si>
  <si>
    <t>HYW-5</t>
  </si>
  <si>
    <t>HYW-7</t>
  </si>
  <si>
    <t>HYW-10</t>
  </si>
  <si>
    <t>HYW-15</t>
  </si>
  <si>
    <t>Baqati Blue</t>
  </si>
  <si>
    <t>Baqati Bronze</t>
  </si>
  <si>
    <t>Baqati Gold</t>
  </si>
  <si>
    <t>Baqati Platinum</t>
  </si>
  <si>
    <t>Baqati Silver</t>
  </si>
  <si>
    <t>Baqati DataOnly-100GB</t>
  </si>
  <si>
    <t>Total Payout</t>
  </si>
  <si>
    <t xml:space="preserve">Additional Incentive </t>
  </si>
  <si>
    <t>HBB &amp; Baqati</t>
  </si>
  <si>
    <t>Hayyak</t>
  </si>
  <si>
    <t>Total Points(Revenue)</t>
  </si>
  <si>
    <t>0 to 168 OMR</t>
  </si>
  <si>
    <t>0 to 228 OMR</t>
  </si>
  <si>
    <t>0 to 346 OMR</t>
  </si>
  <si>
    <t>0  to 350 OMR</t>
  </si>
  <si>
    <t>ARPU</t>
  </si>
  <si>
    <t>Q3 2020</t>
  </si>
  <si>
    <t>Average</t>
  </si>
  <si>
    <t>TOTAL Value Acumlaive</t>
  </si>
  <si>
    <t>Annual Payout</t>
  </si>
  <si>
    <t>VOC</t>
  </si>
  <si>
    <t>VOC Perf.</t>
  </si>
  <si>
    <t>&lt;70%</t>
  </si>
  <si>
    <t>70-79%</t>
  </si>
  <si>
    <t>80-89.9%</t>
  </si>
  <si>
    <t>90-94.9%</t>
  </si>
  <si>
    <t>&gt;95%</t>
  </si>
  <si>
    <t>Pay-out by %</t>
  </si>
  <si>
    <t>Q1</t>
  </si>
  <si>
    <t>Q2</t>
  </si>
  <si>
    <t>Q3</t>
  </si>
  <si>
    <t>Q4</t>
  </si>
  <si>
    <t>Total Year</t>
  </si>
  <si>
    <t>Maximum achivment</t>
  </si>
  <si>
    <t>Minimum achiv.</t>
  </si>
  <si>
    <t>Maximum payout</t>
  </si>
  <si>
    <t>Minimum payount</t>
  </si>
  <si>
    <t>TOTAL Value Accumulative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</si>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</sst>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%"/>
    <numFmt numFmtId="165" formatCode="0.0"/>
    <numFmt numFmtId="166" formatCode="0.000"/>
    <numFmt numFmtId="167" formatCode="_(* #,##0.000_);_(* \(#,##0.000\);_(* &quot;-&quot;??_);_(@_)"/>
    <numFmt numFmtId="168" formatCode="0.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1F497D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2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9" fontId="0" fillId="0" borderId="4" xfId="0" applyNumberFormat="1" applyBorder="1"/>
    <xf numFmtId="165" fontId="0" fillId="7" borderId="4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0" borderId="0" xfId="0" applyFill="1" applyBorder="1"/>
    <xf numFmtId="165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Fill="1" applyBorder="1" applyAlignment="1">
      <alignment horizontal="center" vertical="center"/>
    </xf>
    <xf numFmtId="0" fontId="2" fillId="9" borderId="4" xfId="0" applyFont="1" applyFill="1" applyBorder="1"/>
    <xf numFmtId="0" fontId="2" fillId="10" borderId="4" xfId="0" applyFont="1" applyFill="1" applyBorder="1" applyAlignment="1">
      <alignment horizontal="center" vertical="center"/>
    </xf>
    <xf numFmtId="2" fontId="2" fillId="10" borderId="4" xfId="0" applyNumberFormat="1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1" fontId="2" fillId="10" borderId="6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1" fontId="0" fillId="13" borderId="4" xfId="0" applyNumberFormat="1" applyFill="1" applyBorder="1" applyAlignment="1">
      <alignment horizontal="center" vertical="center"/>
    </xf>
    <xf numFmtId="9" fontId="0" fillId="13" borderId="4" xfId="2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1" fontId="0" fillId="0" borderId="4" xfId="0" applyNumberForma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1" fontId="0" fillId="12" borderId="4" xfId="0" applyNumberForma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167" fontId="0" fillId="0" borderId="4" xfId="1" applyNumberFormat="1" applyFon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65" fontId="0" fillId="0" borderId="0" xfId="0" applyNumberFormat="1"/>
    <xf numFmtId="164" fontId="0" fillId="0" borderId="0" xfId="2" applyNumberFormat="1" applyFont="1"/>
    <xf numFmtId="0" fontId="0" fillId="0" borderId="4" xfId="0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/>
    </xf>
    <xf numFmtId="0" fontId="0" fillId="16" borderId="4" xfId="0" applyFill="1" applyBorder="1"/>
    <xf numFmtId="9" fontId="0" fillId="0" borderId="4" xfId="0" applyNumberForma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Fill="1" applyBorder="1"/>
    <xf numFmtId="3" fontId="0" fillId="0" borderId="4" xfId="0" applyNumberFormat="1" applyBorder="1" applyAlignment="1">
      <alignment horizontal="center"/>
    </xf>
    <xf numFmtId="3" fontId="0" fillId="0" borderId="0" xfId="0" applyNumberFormat="1"/>
    <xf numFmtId="1" fontId="0" fillId="0" borderId="0" xfId="0" applyNumberFormat="1" applyAlignment="1">
      <alignment horizontal="center"/>
    </xf>
    <xf numFmtId="168" fontId="0" fillId="13" borderId="4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</xf>
    <xf numFmtId="165" fontId="0" fillId="0" borderId="4" xfId="0" applyNumberFormat="1" applyBorder="1" applyAlignment="1" applyProtection="1">
      <alignment horizontal="center" vertical="center"/>
    </xf>
    <xf numFmtId="1" fontId="0" fillId="0" borderId="4" xfId="0" applyNumberFormat="1" applyBorder="1" applyAlignment="1" applyProtection="1">
      <alignment horizontal="center" vertical="center"/>
    </xf>
    <xf numFmtId="165" fontId="0" fillId="0" borderId="4" xfId="0" applyNumberFormat="1" applyFill="1" applyBorder="1" applyAlignment="1" applyProtection="1">
      <alignment horizontal="center" vertical="center"/>
    </xf>
    <xf numFmtId="0" fontId="2" fillId="9" borderId="4" xfId="0" applyFont="1" applyFill="1" applyBorder="1" applyProtection="1"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2" fontId="2" fillId="10" borderId="4" xfId="0" applyNumberFormat="1" applyFont="1" applyFill="1" applyBorder="1" applyAlignment="1" applyProtection="1">
      <alignment horizontal="center" vertical="center"/>
      <protection locked="0"/>
    </xf>
    <xf numFmtId="0" fontId="2" fillId="11" borderId="4" xfId="0" applyFont="1" applyFill="1" applyBorder="1" applyAlignment="1" applyProtection="1">
      <alignment horizontal="center" vertical="center"/>
      <protection locked="0"/>
    </xf>
    <xf numFmtId="0" fontId="2" fillId="12" borderId="4" xfId="0" applyFont="1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1" fontId="0" fillId="13" borderId="4" xfId="0" applyNumberFormat="1" applyFill="1" applyBorder="1" applyAlignment="1" applyProtection="1">
      <alignment horizontal="center" vertical="center"/>
      <protection locked="0"/>
    </xf>
    <xf numFmtId="9" fontId="0" fillId="13" borderId="4" xfId="2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1" fontId="0" fillId="12" borderId="4" xfId="0" applyNumberForma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center"/>
      <protection locked="0"/>
    </xf>
    <xf numFmtId="0" fontId="2" fillId="17" borderId="4" xfId="0" applyFont="1" applyFill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4" fontId="0" fillId="7" borderId="4" xfId="0" applyNumberForma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 vertical="center"/>
    </xf>
    <xf numFmtId="167" fontId="0" fillId="0" borderId="4" xfId="1" applyNumberFormat="1" applyFont="1" applyBorder="1" applyAlignment="1" applyProtection="1">
      <alignment horizontal="center" vertical="center"/>
    </xf>
    <xf numFmtId="0" fontId="2" fillId="6" borderId="4" xfId="0" applyFont="1" applyFill="1" applyBorder="1" applyAlignment="1" applyProtection="1">
      <alignment horizontal="center" vertical="center"/>
      <protection locked="0"/>
    </xf>
    <xf numFmtId="3" fontId="0" fillId="0" borderId="4" xfId="0" applyNumberFormat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7" fontId="0" fillId="0" borderId="4" xfId="1" applyNumberFormat="1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2"/>
  <sheetViews>
    <sheetView showGridLines="0" zoomScaleNormal="100" workbookViewId="0">
      <selection activeCell="I11" sqref="I11"/>
    </sheetView>
  </sheetViews>
  <sheetFormatPr defaultColWidth="9.1796875" defaultRowHeight="14.5" x14ac:dyDescent="0.35"/>
  <cols>
    <col min="1" max="1" width="20.54296875" style="75" bestFit="1" customWidth="1"/>
    <col min="2" max="2" width="16.7265625" style="75" customWidth="1"/>
    <col min="3" max="3" width="18.54296875" style="75" bestFit="1" customWidth="1"/>
    <col min="4" max="4" width="9.1796875" style="75"/>
    <col min="5" max="5" width="20.54296875" style="75" bestFit="1" customWidth="1"/>
    <col min="6" max="6" width="11.453125" style="75" bestFit="1" customWidth="1"/>
    <col min="7" max="7" width="18.1796875" style="75" bestFit="1" customWidth="1"/>
    <col min="8" max="8" width="9.1796875" style="75"/>
    <col min="9" max="9" width="12" style="75" bestFit="1" customWidth="1"/>
    <col min="10" max="10" width="20.54296875" style="75" bestFit="1" customWidth="1"/>
    <col min="11" max="11" width="18.1796875" style="75" bestFit="1" customWidth="1"/>
    <col min="12" max="12" width="18.54296875" style="75" bestFit="1" customWidth="1"/>
    <col min="13" max="13" width="9.1796875" style="75"/>
    <col min="14" max="14" width="20.54296875" style="75" bestFit="1" customWidth="1"/>
    <col min="15" max="15" width="11.81640625" style="75" bestFit="1" customWidth="1"/>
    <col min="16" max="16" width="18.1796875" style="75" bestFit="1" customWidth="1"/>
    <col min="17" max="18" width="9.1796875" style="75"/>
    <col min="19" max="19" width="20.54296875" style="75" bestFit="1" customWidth="1"/>
    <col min="20" max="20" width="18.1796875" style="75" bestFit="1" customWidth="1"/>
    <col min="21" max="21" width="18.54296875" style="75" bestFit="1" customWidth="1"/>
    <col min="22" max="22" width="9.1796875" style="75"/>
    <col min="23" max="23" width="20.54296875" style="75" bestFit="1" customWidth="1"/>
    <col min="24" max="24" width="11.453125" style="75" bestFit="1" customWidth="1"/>
    <col min="25" max="25" width="18.1796875" style="75" bestFit="1" customWidth="1"/>
    <col min="26" max="16384" width="9.1796875" style="75"/>
  </cols>
  <sheetData>
    <row r="1" spans="1:25" ht="29" x14ac:dyDescent="0.35">
      <c r="A1" s="73" t="s">
        <v>3</v>
      </c>
      <c r="B1" s="74" t="s">
        <v>25</v>
      </c>
      <c r="C1" s="74" t="s">
        <v>23</v>
      </c>
      <c r="D1" s="74" t="s">
        <v>26</v>
      </c>
      <c r="E1" s="74" t="s">
        <v>96</v>
      </c>
      <c r="F1" s="74" t="s">
        <v>65</v>
      </c>
      <c r="G1" s="74" t="s">
        <v>66</v>
      </c>
      <c r="J1" s="76" t="s">
        <v>3</v>
      </c>
      <c r="K1" s="74" t="s">
        <v>25</v>
      </c>
      <c r="L1" s="74" t="s">
        <v>23</v>
      </c>
      <c r="M1" s="74" t="s">
        <v>26</v>
      </c>
      <c r="N1" s="74" t="s">
        <v>77</v>
      </c>
      <c r="O1" s="74" t="s">
        <v>65</v>
      </c>
      <c r="P1" s="74" t="s">
        <v>66</v>
      </c>
      <c r="S1" s="76" t="s">
        <v>3</v>
      </c>
      <c r="T1" s="74" t="s">
        <v>25</v>
      </c>
      <c r="U1" s="74" t="s">
        <v>23</v>
      </c>
      <c r="V1" s="74" t="s">
        <v>26</v>
      </c>
      <c r="W1" s="74" t="s">
        <v>77</v>
      </c>
      <c r="X1" s="74" t="s">
        <v>65</v>
      </c>
      <c r="Y1" s="74" t="s">
        <v>66</v>
      </c>
    </row>
    <row r="2" spans="1:25" x14ac:dyDescent="0.35">
      <c r="A2" s="77" t="s">
        <v>28</v>
      </c>
      <c r="B2" s="78">
        <v>51</v>
      </c>
      <c r="C2" s="79">
        <f t="shared" ref="C2:C12" si="0">IF($E$16&lt;0.75,0,IF($E$16&lt;0.9,0.15,IF($E$16&lt;1.1,0.25,IF($E$16&lt;1.4,0.45,0.75))))</f>
        <v>0.75</v>
      </c>
      <c r="D2" s="80">
        <f>20/3</f>
        <v>6.666666666666667</v>
      </c>
      <c r="E2" s="79">
        <f>B2*C2*D2</f>
        <v>255</v>
      </c>
      <c r="F2" s="102">
        <f>IFERROR(IF(IF(E16&lt;0.75,0,MIN(((262.5/65)*(E16-0.75)*100)+87.5,350,E13))&gt;350,350,IF(E16&lt;0.75,0,MIN(((262.5/65)*(E16-0.75)*100)+87.5,350,E13))),"0")</f>
        <v>255</v>
      </c>
      <c r="G2" s="103" t="str">
        <f>IFERROR(IF(E16&lt;140%,"0",IF(E16&lt;160%,"17.5",IF(E16&lt;180%,"35",IF(E16&lt;190%,"53",IF(E16&lt;200%,"70","88"))))),"0")</f>
        <v>17.5</v>
      </c>
      <c r="J2" s="77" t="s">
        <v>28</v>
      </c>
      <c r="K2" s="78">
        <v>40</v>
      </c>
      <c r="L2" s="79">
        <f>IF($N$16&lt;0.75,0,IF($N$16&lt;0.9,0.15,IF($N$16&lt;1.1,0.25,IF($N$16&lt;1.4,0.45,0.75))))</f>
        <v>0.75</v>
      </c>
      <c r="M2" s="80">
        <f>20/3</f>
        <v>6.666666666666667</v>
      </c>
      <c r="N2" s="81">
        <f>K2*L2*M2</f>
        <v>200</v>
      </c>
      <c r="O2" s="102">
        <f>IFERROR(IF(IF(N16&lt;0.75,0,MIN(((262.5/65)*(N16-0.75)*100)+87.5,350,N13))&gt;350,350,IF(N16&lt;0.75,0,MIN(((262.5/65)*(N16-0.75)*100)+87.5,350,N13))),"0")</f>
        <v>308.75</v>
      </c>
      <c r="P2" s="103" t="str">
        <f>IFERROR(IF(N16&lt;140%,"0",IF(N16&lt;160%,"17.5",IF(N16&lt;180%,"35",IF(N16&lt;190%,"53",IF(N16&lt;200%,"70","88"))))),"0")</f>
        <v>17.5</v>
      </c>
      <c r="S2" s="77" t="s">
        <v>28</v>
      </c>
      <c r="T2" s="78">
        <v>14</v>
      </c>
      <c r="U2" s="79">
        <f>IF($W$16&lt;0.75,0,IF($W$16&lt;0.9,0.15,IF($W$16&lt;1.1,0.25,IF($W$16&lt;1.4,0.45,0.75))))</f>
        <v>0.75</v>
      </c>
      <c r="V2" s="80">
        <f>20/3</f>
        <v>6.666666666666667</v>
      </c>
      <c r="W2" s="81">
        <f>T2*U2*V2</f>
        <v>70</v>
      </c>
      <c r="X2" s="102">
        <f>IFERROR(IF(IF(W16&lt;0.75,0,MIN(((262.5/65)*(W16-0.75)*100)+87.5,350,W13))&gt;350,350,IF(W16&lt;0.75,0,MIN(((262.5/65)*(W16-0.75)*100)+87.5,350,W13))),"0")</f>
        <v>350</v>
      </c>
      <c r="Y2" s="103" t="str">
        <f>IFERROR(IF(W16&lt;140%,"0",IF(W16&lt;160%,"17.5",IF(W16&lt;180%,"35",IF(W16&lt;190%,"53",IF(W16&lt;200%,"70","88"))))),"0")</f>
        <v>17.5</v>
      </c>
    </row>
    <row r="3" spans="1:25" x14ac:dyDescent="0.35">
      <c r="A3" s="77" t="s">
        <v>29</v>
      </c>
      <c r="B3" s="78"/>
      <c r="C3" s="79">
        <f t="shared" si="0"/>
        <v>0.75</v>
      </c>
      <c r="D3" s="80">
        <f>25/2</f>
        <v>12.5</v>
      </c>
      <c r="E3" s="79">
        <f t="shared" ref="E3:E12" si="1">B3*C3*D3</f>
        <v>0</v>
      </c>
      <c r="F3" s="102"/>
      <c r="G3" s="103"/>
      <c r="J3" s="77" t="s">
        <v>29</v>
      </c>
      <c r="K3" s="78">
        <v>6</v>
      </c>
      <c r="L3" s="79">
        <f t="shared" ref="L3:L12" si="2">IF($N$16&lt;0.75,0,IF($N$16&lt;0.9,0.15,IF($N$16&lt;1.1,0.25,IF($N$16&lt;1.4,0.45,0.75))))</f>
        <v>0.75</v>
      </c>
      <c r="M3" s="80">
        <f>25/2</f>
        <v>12.5</v>
      </c>
      <c r="N3" s="81">
        <f t="shared" ref="N3:N12" si="3">K3*L3*M3</f>
        <v>56.25</v>
      </c>
      <c r="O3" s="102"/>
      <c r="P3" s="103"/>
      <c r="S3" s="77" t="s">
        <v>29</v>
      </c>
      <c r="T3" s="78">
        <v>1</v>
      </c>
      <c r="U3" s="79">
        <f t="shared" ref="U3:U12" si="4">IF($W$16&lt;0.75,0,IF($W$16&lt;0.9,0.15,IF($W$16&lt;1.1,0.25,IF($W$16&lt;1.4,0.45,0.75))))</f>
        <v>0.75</v>
      </c>
      <c r="V3" s="80">
        <f>25/2</f>
        <v>12.5</v>
      </c>
      <c r="W3" s="81">
        <f t="shared" ref="W3:W12" si="5">T3*U3*V3</f>
        <v>9.375</v>
      </c>
      <c r="X3" s="102"/>
      <c r="Y3" s="103"/>
    </row>
    <row r="4" spans="1:25" x14ac:dyDescent="0.35">
      <c r="A4" s="77" t="s">
        <v>30</v>
      </c>
      <c r="B4" s="78"/>
      <c r="C4" s="79">
        <f t="shared" si="0"/>
        <v>0.75</v>
      </c>
      <c r="D4" s="80">
        <f>28/2</f>
        <v>14</v>
      </c>
      <c r="E4" s="79">
        <f t="shared" si="1"/>
        <v>0</v>
      </c>
      <c r="F4" s="102"/>
      <c r="G4" s="103"/>
      <c r="J4" s="77" t="s">
        <v>30</v>
      </c>
      <c r="K4" s="78">
        <v>5</v>
      </c>
      <c r="L4" s="79">
        <f t="shared" si="2"/>
        <v>0.75</v>
      </c>
      <c r="M4" s="80">
        <f>28/2</f>
        <v>14</v>
      </c>
      <c r="N4" s="81">
        <f t="shared" si="3"/>
        <v>52.5</v>
      </c>
      <c r="O4" s="102"/>
      <c r="P4" s="103"/>
      <c r="S4" s="77" t="s">
        <v>30</v>
      </c>
      <c r="T4" s="78">
        <v>2</v>
      </c>
      <c r="U4" s="79">
        <f t="shared" si="4"/>
        <v>0.75</v>
      </c>
      <c r="V4" s="80">
        <f>28/2</f>
        <v>14</v>
      </c>
      <c r="W4" s="81">
        <f t="shared" si="5"/>
        <v>21</v>
      </c>
      <c r="X4" s="102"/>
      <c r="Y4" s="103"/>
    </row>
    <row r="5" spans="1:25" x14ac:dyDescent="0.35">
      <c r="A5" s="77" t="s">
        <v>31</v>
      </c>
      <c r="B5" s="78"/>
      <c r="C5" s="79">
        <f t="shared" si="0"/>
        <v>0.75</v>
      </c>
      <c r="D5" s="82">
        <f>30/2</f>
        <v>15</v>
      </c>
      <c r="E5" s="79">
        <f t="shared" si="1"/>
        <v>0</v>
      </c>
      <c r="F5" s="102"/>
      <c r="G5" s="103"/>
      <c r="J5" s="77" t="s">
        <v>31</v>
      </c>
      <c r="K5" s="78"/>
      <c r="L5" s="79">
        <f t="shared" si="2"/>
        <v>0.75</v>
      </c>
      <c r="M5" s="82">
        <f>30/2</f>
        <v>15</v>
      </c>
      <c r="N5" s="81">
        <f t="shared" si="3"/>
        <v>0</v>
      </c>
      <c r="O5" s="102"/>
      <c r="P5" s="103"/>
      <c r="S5" s="77" t="s">
        <v>31</v>
      </c>
      <c r="T5" s="78">
        <v>20</v>
      </c>
      <c r="U5" s="79">
        <f t="shared" si="4"/>
        <v>0.75</v>
      </c>
      <c r="V5" s="82">
        <f>30/2</f>
        <v>15</v>
      </c>
      <c r="W5" s="81">
        <f t="shared" si="5"/>
        <v>225</v>
      </c>
      <c r="X5" s="102"/>
      <c r="Y5" s="103"/>
    </row>
    <row r="6" spans="1:25" x14ac:dyDescent="0.35">
      <c r="A6" s="77" t="s">
        <v>32</v>
      </c>
      <c r="B6" s="78"/>
      <c r="C6" s="79">
        <f t="shared" si="0"/>
        <v>0.75</v>
      </c>
      <c r="D6" s="82">
        <f>35/2</f>
        <v>17.5</v>
      </c>
      <c r="E6" s="79">
        <v>0</v>
      </c>
      <c r="F6" s="102"/>
      <c r="G6" s="103"/>
      <c r="J6" s="77" t="s">
        <v>32</v>
      </c>
      <c r="K6" s="78"/>
      <c r="L6" s="79">
        <f t="shared" si="2"/>
        <v>0.75</v>
      </c>
      <c r="M6" s="82">
        <f>35/2</f>
        <v>17.5</v>
      </c>
      <c r="N6" s="81">
        <f t="shared" si="3"/>
        <v>0</v>
      </c>
      <c r="O6" s="102"/>
      <c r="P6" s="103"/>
      <c r="S6" s="77" t="s">
        <v>32</v>
      </c>
      <c r="T6" s="78">
        <v>2</v>
      </c>
      <c r="U6" s="79">
        <f t="shared" si="4"/>
        <v>0.75</v>
      </c>
      <c r="V6" s="82">
        <f>35/2</f>
        <v>17.5</v>
      </c>
      <c r="W6" s="81">
        <f t="shared" si="5"/>
        <v>26.25</v>
      </c>
      <c r="X6" s="102"/>
      <c r="Y6" s="103"/>
    </row>
    <row r="7" spans="1:25" x14ac:dyDescent="0.35">
      <c r="A7" s="77" t="s">
        <v>33</v>
      </c>
      <c r="B7" s="78"/>
      <c r="C7" s="79">
        <f t="shared" si="0"/>
        <v>0.75</v>
      </c>
      <c r="D7" s="82">
        <f>45/2</f>
        <v>22.5</v>
      </c>
      <c r="E7" s="79">
        <f t="shared" si="1"/>
        <v>0</v>
      </c>
      <c r="F7" s="102"/>
      <c r="G7" s="103"/>
      <c r="J7" s="77" t="s">
        <v>33</v>
      </c>
      <c r="K7" s="78"/>
      <c r="L7" s="79">
        <f t="shared" si="2"/>
        <v>0.75</v>
      </c>
      <c r="M7" s="82">
        <f>45/2</f>
        <v>22.5</v>
      </c>
      <c r="N7" s="81">
        <f t="shared" si="3"/>
        <v>0</v>
      </c>
      <c r="O7" s="102"/>
      <c r="P7" s="103"/>
      <c r="S7" s="77" t="s">
        <v>33</v>
      </c>
      <c r="T7" s="78">
        <v>7</v>
      </c>
      <c r="U7" s="79">
        <f t="shared" si="4"/>
        <v>0.75</v>
      </c>
      <c r="V7" s="82">
        <f>45/2</f>
        <v>22.5</v>
      </c>
      <c r="W7" s="81">
        <f t="shared" si="5"/>
        <v>118.125</v>
      </c>
      <c r="X7" s="102"/>
      <c r="Y7" s="103"/>
    </row>
    <row r="8" spans="1:25" x14ac:dyDescent="0.35">
      <c r="A8" s="77" t="s">
        <v>34</v>
      </c>
      <c r="B8" s="78"/>
      <c r="C8" s="79">
        <f t="shared" si="0"/>
        <v>0.75</v>
      </c>
      <c r="D8" s="82">
        <f>80/2</f>
        <v>40</v>
      </c>
      <c r="E8" s="79">
        <f t="shared" si="1"/>
        <v>0</v>
      </c>
      <c r="F8" s="102"/>
      <c r="G8" s="103"/>
      <c r="J8" s="77" t="s">
        <v>34</v>
      </c>
      <c r="K8" s="78"/>
      <c r="L8" s="79">
        <f t="shared" si="2"/>
        <v>0.75</v>
      </c>
      <c r="M8" s="82">
        <f>80/2</f>
        <v>40</v>
      </c>
      <c r="N8" s="81">
        <f t="shared" si="3"/>
        <v>0</v>
      </c>
      <c r="O8" s="102"/>
      <c r="P8" s="103"/>
      <c r="S8" s="77" t="s">
        <v>34</v>
      </c>
      <c r="T8" s="78">
        <v>5</v>
      </c>
      <c r="U8" s="79">
        <f t="shared" si="4"/>
        <v>0.75</v>
      </c>
      <c r="V8" s="82">
        <f>80/2</f>
        <v>40</v>
      </c>
      <c r="W8" s="81">
        <f t="shared" si="5"/>
        <v>150</v>
      </c>
      <c r="X8" s="102"/>
      <c r="Y8" s="103"/>
    </row>
    <row r="9" spans="1:25" x14ac:dyDescent="0.35">
      <c r="A9" s="77" t="s">
        <v>35</v>
      </c>
      <c r="B9" s="78"/>
      <c r="C9" s="79">
        <f t="shared" si="0"/>
        <v>0.75</v>
      </c>
      <c r="D9" s="82">
        <f>35/2</f>
        <v>17.5</v>
      </c>
      <c r="E9" s="79">
        <f t="shared" si="1"/>
        <v>0</v>
      </c>
      <c r="F9" s="102"/>
      <c r="G9" s="103"/>
      <c r="J9" s="77" t="s">
        <v>35</v>
      </c>
      <c r="K9" s="78"/>
      <c r="L9" s="79">
        <f t="shared" si="2"/>
        <v>0.75</v>
      </c>
      <c r="M9" s="82">
        <f>35/2</f>
        <v>17.5</v>
      </c>
      <c r="N9" s="81">
        <f t="shared" si="3"/>
        <v>0</v>
      </c>
      <c r="O9" s="102"/>
      <c r="P9" s="103"/>
      <c r="S9" s="77" t="s">
        <v>35</v>
      </c>
      <c r="T9" s="78"/>
      <c r="U9" s="79">
        <f t="shared" si="4"/>
        <v>0.75</v>
      </c>
      <c r="V9" s="82">
        <f>35/2</f>
        <v>17.5</v>
      </c>
      <c r="W9" s="81">
        <f t="shared" si="5"/>
        <v>0</v>
      </c>
      <c r="X9" s="102"/>
      <c r="Y9" s="103"/>
    </row>
    <row r="10" spans="1:25" x14ac:dyDescent="0.35">
      <c r="A10" s="77" t="s">
        <v>36</v>
      </c>
      <c r="B10" s="78"/>
      <c r="C10" s="79">
        <f t="shared" si="0"/>
        <v>0.75</v>
      </c>
      <c r="D10" s="82">
        <f>39/2</f>
        <v>19.5</v>
      </c>
      <c r="E10" s="79">
        <f t="shared" si="1"/>
        <v>0</v>
      </c>
      <c r="F10" s="102"/>
      <c r="G10" s="103"/>
      <c r="J10" s="77" t="s">
        <v>36</v>
      </c>
      <c r="K10" s="78"/>
      <c r="L10" s="79">
        <f t="shared" si="2"/>
        <v>0.75</v>
      </c>
      <c r="M10" s="82">
        <f>39/2</f>
        <v>19.5</v>
      </c>
      <c r="N10" s="81">
        <f t="shared" si="3"/>
        <v>0</v>
      </c>
      <c r="O10" s="102"/>
      <c r="P10" s="103"/>
      <c r="S10" s="77" t="s">
        <v>36</v>
      </c>
      <c r="T10" s="78"/>
      <c r="U10" s="79">
        <f t="shared" si="4"/>
        <v>0.75</v>
      </c>
      <c r="V10" s="82">
        <f>39/2</f>
        <v>19.5</v>
      </c>
      <c r="W10" s="81">
        <f t="shared" si="5"/>
        <v>0</v>
      </c>
      <c r="X10" s="102"/>
      <c r="Y10" s="103"/>
    </row>
    <row r="11" spans="1:25" x14ac:dyDescent="0.35">
      <c r="A11" s="77" t="s">
        <v>37</v>
      </c>
      <c r="B11" s="78"/>
      <c r="C11" s="79">
        <f t="shared" si="0"/>
        <v>0.75</v>
      </c>
      <c r="D11" s="82">
        <f>49/2</f>
        <v>24.5</v>
      </c>
      <c r="E11" s="79">
        <f t="shared" si="1"/>
        <v>0</v>
      </c>
      <c r="F11" s="102"/>
      <c r="G11" s="103"/>
      <c r="J11" s="77" t="s">
        <v>37</v>
      </c>
      <c r="K11" s="78"/>
      <c r="L11" s="79">
        <f t="shared" si="2"/>
        <v>0.75</v>
      </c>
      <c r="M11" s="82">
        <f>49/2</f>
        <v>24.5</v>
      </c>
      <c r="N11" s="81">
        <f t="shared" si="3"/>
        <v>0</v>
      </c>
      <c r="O11" s="102"/>
      <c r="P11" s="103"/>
      <c r="S11" s="77" t="s">
        <v>37</v>
      </c>
      <c r="T11" s="78"/>
      <c r="U11" s="79">
        <f t="shared" si="4"/>
        <v>0.75</v>
      </c>
      <c r="V11" s="82">
        <f>49/2</f>
        <v>24.5</v>
      </c>
      <c r="W11" s="81">
        <f t="shared" si="5"/>
        <v>0</v>
      </c>
      <c r="X11" s="102"/>
      <c r="Y11" s="103"/>
    </row>
    <row r="12" spans="1:25" x14ac:dyDescent="0.35">
      <c r="A12" s="77" t="s">
        <v>38</v>
      </c>
      <c r="B12" s="78"/>
      <c r="C12" s="79">
        <f t="shared" si="0"/>
        <v>0.75</v>
      </c>
      <c r="D12" s="82">
        <f>89/2</f>
        <v>44.5</v>
      </c>
      <c r="E12" s="79">
        <f t="shared" si="1"/>
        <v>0</v>
      </c>
      <c r="F12" s="102"/>
      <c r="G12" s="103"/>
      <c r="J12" s="77" t="s">
        <v>38</v>
      </c>
      <c r="K12" s="78"/>
      <c r="L12" s="79">
        <f t="shared" si="2"/>
        <v>0.75</v>
      </c>
      <c r="M12" s="82">
        <f>89/2</f>
        <v>44.5</v>
      </c>
      <c r="N12" s="81">
        <f t="shared" si="3"/>
        <v>0</v>
      </c>
      <c r="O12" s="102"/>
      <c r="P12" s="103"/>
      <c r="S12" s="77" t="s">
        <v>38</v>
      </c>
      <c r="T12" s="78"/>
      <c r="U12" s="79">
        <f t="shared" si="4"/>
        <v>0.75</v>
      </c>
      <c r="V12" s="82">
        <f>89/2</f>
        <v>44.5</v>
      </c>
      <c r="W12" s="81">
        <f t="shared" si="5"/>
        <v>0</v>
      </c>
      <c r="X12" s="102"/>
      <c r="Y12" s="103"/>
    </row>
    <row r="13" spans="1:25" x14ac:dyDescent="0.35">
      <c r="A13" s="83" t="s">
        <v>39</v>
      </c>
      <c r="B13" s="84">
        <f>SUM(B2:B12)</f>
        <v>51</v>
      </c>
      <c r="C13" s="85">
        <f>AVERAGE(C2:C12)</f>
        <v>0.75</v>
      </c>
      <c r="D13" s="86"/>
      <c r="E13" s="87">
        <f>SUM(E2:E12)</f>
        <v>255</v>
      </c>
      <c r="F13" s="102"/>
      <c r="G13" s="103"/>
      <c r="J13" s="83" t="s">
        <v>39</v>
      </c>
      <c r="K13" s="84">
        <f>SUM(K2:K12)</f>
        <v>51</v>
      </c>
      <c r="L13" s="85">
        <f>AVERAGE(L2:L12)</f>
        <v>0.75</v>
      </c>
      <c r="M13" s="86"/>
      <c r="N13" s="87">
        <f>SUM(N2:N12)</f>
        <v>308.75</v>
      </c>
      <c r="O13" s="102"/>
      <c r="P13" s="103"/>
      <c r="S13" s="83" t="s">
        <v>39</v>
      </c>
      <c r="T13" s="84">
        <f>SUM(T2:T12)</f>
        <v>51</v>
      </c>
      <c r="U13" s="85">
        <f>AVERAGE(U2:U12)</f>
        <v>0.75</v>
      </c>
      <c r="V13" s="86"/>
      <c r="W13" s="87">
        <f>SUM(W2:W12)</f>
        <v>619.75</v>
      </c>
      <c r="X13" s="102"/>
      <c r="Y13" s="103"/>
    </row>
    <row r="14" spans="1:25" x14ac:dyDescent="0.35">
      <c r="A14" s="104" t="s">
        <v>40</v>
      </c>
      <c r="B14" s="104"/>
      <c r="C14" s="104"/>
      <c r="D14" s="104"/>
      <c r="E14" s="88">
        <f>B13</f>
        <v>51</v>
      </c>
      <c r="F14" s="102"/>
      <c r="G14" s="103"/>
      <c r="J14" s="104" t="s">
        <v>40</v>
      </c>
      <c r="K14" s="104"/>
      <c r="L14" s="104"/>
      <c r="M14" s="104"/>
      <c r="N14" s="88">
        <f>K13</f>
        <v>51</v>
      </c>
      <c r="O14" s="102"/>
      <c r="P14" s="103"/>
      <c r="S14" s="104" t="s">
        <v>40</v>
      </c>
      <c r="T14" s="104"/>
      <c r="U14" s="104"/>
      <c r="V14" s="104"/>
      <c r="W14" s="88">
        <f>T13</f>
        <v>51</v>
      </c>
      <c r="X14" s="102"/>
      <c r="Y14" s="103"/>
    </row>
    <row r="15" spans="1:25" x14ac:dyDescent="0.35">
      <c r="A15" s="104" t="s">
        <v>41</v>
      </c>
      <c r="B15" s="104"/>
      <c r="C15" s="104"/>
      <c r="D15" s="104"/>
      <c r="E15" s="89">
        <v>36</v>
      </c>
      <c r="F15" s="102"/>
      <c r="G15" s="103"/>
      <c r="J15" s="104" t="s">
        <v>41</v>
      </c>
      <c r="K15" s="104"/>
      <c r="L15" s="104"/>
      <c r="M15" s="104"/>
      <c r="N15" s="89">
        <v>36</v>
      </c>
      <c r="O15" s="102"/>
      <c r="P15" s="103"/>
      <c r="S15" s="104" t="s">
        <v>41</v>
      </c>
      <c r="T15" s="104"/>
      <c r="U15" s="104"/>
      <c r="V15" s="104"/>
      <c r="W15" s="89">
        <v>36</v>
      </c>
      <c r="X15" s="102"/>
      <c r="Y15" s="103"/>
    </row>
    <row r="16" spans="1:25" x14ac:dyDescent="0.35">
      <c r="A16" s="104" t="s">
        <v>42</v>
      </c>
      <c r="B16" s="104"/>
      <c r="C16" s="104"/>
      <c r="D16" s="104"/>
      <c r="E16" s="90">
        <f>E14/E15</f>
        <v>1.4166666666666667</v>
      </c>
      <c r="F16" s="102"/>
      <c r="G16" s="103"/>
      <c r="J16" s="104" t="s">
        <v>42</v>
      </c>
      <c r="K16" s="104"/>
      <c r="L16" s="104"/>
      <c r="M16" s="104"/>
      <c r="N16" s="90">
        <f>N14/N15</f>
        <v>1.4166666666666667</v>
      </c>
      <c r="O16" s="102"/>
      <c r="P16" s="103"/>
      <c r="S16" s="104" t="s">
        <v>42</v>
      </c>
      <c r="T16" s="104"/>
      <c r="U16" s="104"/>
      <c r="V16" s="104"/>
      <c r="W16" s="90">
        <f>W14/W15</f>
        <v>1.4166666666666667</v>
      </c>
      <c r="X16" s="102"/>
      <c r="Y16" s="103"/>
    </row>
    <row r="17" spans="1:25" ht="29" x14ac:dyDescent="0.35">
      <c r="A17" s="76" t="s">
        <v>4</v>
      </c>
      <c r="B17" s="74" t="s">
        <v>25</v>
      </c>
      <c r="C17" s="74" t="s">
        <v>23</v>
      </c>
      <c r="D17" s="74" t="s">
        <v>26</v>
      </c>
      <c r="E17" s="74" t="s">
        <v>20</v>
      </c>
      <c r="F17" s="74" t="s">
        <v>65</v>
      </c>
      <c r="G17" s="74" t="s">
        <v>66</v>
      </c>
      <c r="J17" s="76" t="s">
        <v>4</v>
      </c>
      <c r="K17" s="74" t="s">
        <v>25</v>
      </c>
      <c r="L17" s="74" t="s">
        <v>23</v>
      </c>
      <c r="M17" s="74" t="s">
        <v>26</v>
      </c>
      <c r="N17" s="74" t="s">
        <v>20</v>
      </c>
      <c r="O17" s="74" t="s">
        <v>65</v>
      </c>
      <c r="P17" s="74" t="s">
        <v>66</v>
      </c>
      <c r="S17" s="76" t="s">
        <v>4</v>
      </c>
      <c r="T17" s="74" t="s">
        <v>25</v>
      </c>
      <c r="U17" s="74" t="s">
        <v>23</v>
      </c>
      <c r="V17" s="74" t="s">
        <v>26</v>
      </c>
      <c r="W17" s="74" t="s">
        <v>20</v>
      </c>
      <c r="X17" s="74" t="s">
        <v>65</v>
      </c>
      <c r="Y17" s="74" t="s">
        <v>66</v>
      </c>
    </row>
    <row r="18" spans="1:25" x14ac:dyDescent="0.35">
      <c r="A18" s="91" t="s">
        <v>43</v>
      </c>
      <c r="B18" s="78">
        <v>12</v>
      </c>
      <c r="C18" s="79">
        <f t="shared" ref="C18:C29" si="6">IF($E$33&lt;0.75,0,IF($E$33&lt;0.9,0.15,IF($E$33&lt;1.1,0.25,IF($E$33&lt;1.4,0.45,0.75))))</f>
        <v>0.75</v>
      </c>
      <c r="D18" s="79">
        <f>3/6</f>
        <v>0.5</v>
      </c>
      <c r="E18" s="80">
        <f>B18*C18*D18</f>
        <v>4.5</v>
      </c>
      <c r="F18" s="102">
        <f>IFERROR(IF(IF(E33&lt;0.75,0,MIN(((262.5/65)*(E33-0.75)*100)+87.5,350,E30))&gt;350,350,IF(E33&lt;0.75,0,MIN(((262.5/65)*(E33-0.75)*100)+87.5,350,E30))),"0")</f>
        <v>114.75</v>
      </c>
      <c r="G18" s="103" t="str">
        <f>IFERROR(IF(E33&lt;140%,"0",IF(E33&lt;160%,"17.5",IF(E33&lt;180%,"35",IF(E33&lt;190%,"53",IF(E33&lt;200%,"70","88"))))),"0")</f>
        <v>17.5</v>
      </c>
      <c r="J18" s="91" t="s">
        <v>43</v>
      </c>
      <c r="K18" s="78">
        <v>8</v>
      </c>
      <c r="L18" s="79">
        <f>IF($N$33&lt;0.75,0,IF($N$33&lt;0.9,0.15,IF($N$33&lt;1.1,0.25,IF($N$33&lt;1.4,0.45,0.75))))</f>
        <v>0.75</v>
      </c>
      <c r="M18" s="79">
        <f>3/6</f>
        <v>0.5</v>
      </c>
      <c r="N18" s="81">
        <f t="shared" ref="N18:N29" si="7">K18*L18*M18</f>
        <v>3</v>
      </c>
      <c r="O18" s="102">
        <f>IFERROR(IF(IF(N33&lt;0.75,0,MIN(((262.5/65)*(N33-0.75)*100)+87.5,350,N30))&gt;350,350,IF(N33&lt;0.75,0,MIN(((262.5/65)*(N33-0.75)*100)+87.5,350,N30))),"0")</f>
        <v>198.75</v>
      </c>
      <c r="P18" s="103" t="str">
        <f>IFERROR(IF(N33&lt;140%,"0",IF(N33&lt;160%,"17.5",IF(N33&lt;180%,"35",IF(N33&lt;190%,"53",IF(N33&lt;200%,"70","88"))))),"0")</f>
        <v>17.5</v>
      </c>
      <c r="S18" s="91" t="s">
        <v>43</v>
      </c>
      <c r="T18" s="78">
        <v>5</v>
      </c>
      <c r="U18" s="79">
        <f>IF($W$33&lt;0.75,0,IF($W$33&lt;0.9,0.15,IF($W$33&lt;1.1,0.25,IF($W$33&lt;1.4,0.45,0.75))))</f>
        <v>0.75</v>
      </c>
      <c r="V18" s="79">
        <f>3/6</f>
        <v>0.5</v>
      </c>
      <c r="W18" s="81">
        <f t="shared" ref="W18:W29" si="8">T18*U18*V18</f>
        <v>1.875</v>
      </c>
      <c r="X18" s="102">
        <f>IFERROR(IF(IF(W33&lt;0.75,0,MIN(((262.5/65)*(W33-0.75)*100)+87.5,350,W30))&gt;350,350,IF(W33&lt;0.75,0,MIN(((262.5/65)*(W33-0.75)*100)+87.5,350,W30))),"0")</f>
        <v>350</v>
      </c>
      <c r="Y18" s="103" t="str">
        <f>IFERROR(IF(W33&lt;140%,"0",IF(W33&lt;160%,"17.5",IF(W33&lt;180%,"35",IF(W33&lt;190%,"53",IF(W33&lt;200%,"70","88"))))),"0")</f>
        <v>17.5</v>
      </c>
    </row>
    <row r="19" spans="1:25" x14ac:dyDescent="0.35">
      <c r="A19" s="91" t="s">
        <v>44</v>
      </c>
      <c r="B19" s="78"/>
      <c r="C19" s="79">
        <f t="shared" si="6"/>
        <v>0.75</v>
      </c>
      <c r="D19" s="79">
        <f>99/2</f>
        <v>49.5</v>
      </c>
      <c r="E19" s="80">
        <f t="shared" ref="E19:E29" si="9">B19*C19*D19</f>
        <v>0</v>
      </c>
      <c r="F19" s="102"/>
      <c r="G19" s="103"/>
      <c r="J19" s="91" t="s">
        <v>44</v>
      </c>
      <c r="K19" s="78"/>
      <c r="L19" s="79">
        <f t="shared" ref="L19:L29" si="10">IF($N$33&lt;0.75,0,IF($N$33&lt;0.9,0.15,IF($N$33&lt;1.1,0.25,IF($N$33&lt;1.4,0.45,0.75))))</f>
        <v>0.75</v>
      </c>
      <c r="M19" s="79">
        <f>99/2</f>
        <v>49.5</v>
      </c>
      <c r="N19" s="81">
        <f t="shared" si="7"/>
        <v>0</v>
      </c>
      <c r="O19" s="102"/>
      <c r="P19" s="103"/>
      <c r="S19" s="91" t="s">
        <v>44</v>
      </c>
      <c r="T19" s="78">
        <v>7</v>
      </c>
      <c r="U19" s="79">
        <f t="shared" ref="U19:U29" si="11">IF($W$33&lt;0.75,0,IF($W$33&lt;0.9,0.15,IF($W$33&lt;1.1,0.25,IF($W$33&lt;1.4,0.45,0.75))))</f>
        <v>0.75</v>
      </c>
      <c r="V19" s="79">
        <f>99/2</f>
        <v>49.5</v>
      </c>
      <c r="W19" s="81">
        <f t="shared" si="8"/>
        <v>259.875</v>
      </c>
      <c r="X19" s="102"/>
      <c r="Y19" s="103"/>
    </row>
    <row r="20" spans="1:25" x14ac:dyDescent="0.35">
      <c r="A20" s="91" t="s">
        <v>59</v>
      </c>
      <c r="B20" s="78">
        <v>9</v>
      </c>
      <c r="C20" s="79">
        <f t="shared" si="6"/>
        <v>0.75</v>
      </c>
      <c r="D20" s="80">
        <f>9/3</f>
        <v>3</v>
      </c>
      <c r="E20" s="80">
        <f t="shared" si="9"/>
        <v>20.25</v>
      </c>
      <c r="F20" s="102"/>
      <c r="G20" s="103"/>
      <c r="J20" s="91" t="s">
        <v>59</v>
      </c>
      <c r="K20" s="78">
        <v>12</v>
      </c>
      <c r="L20" s="79">
        <f t="shared" si="10"/>
        <v>0.75</v>
      </c>
      <c r="M20" s="80">
        <f>9/3</f>
        <v>3</v>
      </c>
      <c r="N20" s="81">
        <f t="shared" si="7"/>
        <v>27</v>
      </c>
      <c r="O20" s="102"/>
      <c r="P20" s="103"/>
      <c r="S20" s="91" t="s">
        <v>59</v>
      </c>
      <c r="T20" s="78">
        <v>6</v>
      </c>
      <c r="U20" s="79">
        <f t="shared" si="11"/>
        <v>0.75</v>
      </c>
      <c r="V20" s="80">
        <f>9/3</f>
        <v>3</v>
      </c>
      <c r="W20" s="81">
        <f t="shared" si="8"/>
        <v>13.5</v>
      </c>
      <c r="X20" s="102"/>
      <c r="Y20" s="103"/>
    </row>
    <row r="21" spans="1:25" x14ac:dyDescent="0.35">
      <c r="A21" s="91" t="s">
        <v>60</v>
      </c>
      <c r="B21" s="78">
        <v>12</v>
      </c>
      <c r="C21" s="79">
        <f t="shared" si="6"/>
        <v>0.75</v>
      </c>
      <c r="D21" s="79">
        <f>15/2</f>
        <v>7.5</v>
      </c>
      <c r="E21" s="80">
        <f t="shared" si="9"/>
        <v>67.5</v>
      </c>
      <c r="F21" s="102"/>
      <c r="G21" s="103"/>
      <c r="J21" s="91" t="s">
        <v>60</v>
      </c>
      <c r="K21" s="78"/>
      <c r="L21" s="79">
        <f t="shared" si="10"/>
        <v>0.75</v>
      </c>
      <c r="M21" s="79">
        <f>15/2</f>
        <v>7.5</v>
      </c>
      <c r="N21" s="81">
        <f t="shared" si="7"/>
        <v>0</v>
      </c>
      <c r="O21" s="102"/>
      <c r="P21" s="103"/>
      <c r="S21" s="91" t="s">
        <v>60</v>
      </c>
      <c r="T21" s="78">
        <v>10</v>
      </c>
      <c r="U21" s="79">
        <f t="shared" si="11"/>
        <v>0.75</v>
      </c>
      <c r="V21" s="79">
        <f>15/2</f>
        <v>7.5</v>
      </c>
      <c r="W21" s="81">
        <f t="shared" si="8"/>
        <v>56.25</v>
      </c>
      <c r="X21" s="102"/>
      <c r="Y21" s="103"/>
    </row>
    <row r="22" spans="1:25" x14ac:dyDescent="0.35">
      <c r="A22" s="91" t="s">
        <v>61</v>
      </c>
      <c r="B22" s="78"/>
      <c r="C22" s="79">
        <f t="shared" si="6"/>
        <v>0.75</v>
      </c>
      <c r="D22" s="79">
        <f>25/2</f>
        <v>12.5</v>
      </c>
      <c r="E22" s="79">
        <f t="shared" si="9"/>
        <v>0</v>
      </c>
      <c r="F22" s="102"/>
      <c r="G22" s="103"/>
      <c r="J22" s="91" t="s">
        <v>61</v>
      </c>
      <c r="K22" s="78">
        <v>6</v>
      </c>
      <c r="L22" s="79">
        <f t="shared" si="10"/>
        <v>0.75</v>
      </c>
      <c r="M22" s="79">
        <f>25/2</f>
        <v>12.5</v>
      </c>
      <c r="N22" s="81">
        <f t="shared" si="7"/>
        <v>56.25</v>
      </c>
      <c r="O22" s="102"/>
      <c r="P22" s="103"/>
      <c r="S22" s="91" t="s">
        <v>61</v>
      </c>
      <c r="T22" s="78"/>
      <c r="U22" s="79">
        <f t="shared" si="11"/>
        <v>0.75</v>
      </c>
      <c r="V22" s="79">
        <f>25/2</f>
        <v>12.5</v>
      </c>
      <c r="W22" s="81">
        <f t="shared" si="8"/>
        <v>0</v>
      </c>
      <c r="X22" s="102"/>
      <c r="Y22" s="103"/>
    </row>
    <row r="23" spans="1:25" x14ac:dyDescent="0.35">
      <c r="A23" s="91" t="s">
        <v>62</v>
      </c>
      <c r="B23" s="78"/>
      <c r="C23" s="79">
        <f t="shared" si="6"/>
        <v>0.75</v>
      </c>
      <c r="D23" s="79">
        <f>35/2</f>
        <v>17.5</v>
      </c>
      <c r="E23" s="79">
        <f t="shared" si="9"/>
        <v>0</v>
      </c>
      <c r="F23" s="102"/>
      <c r="G23" s="103"/>
      <c r="J23" s="91" t="s">
        <v>62</v>
      </c>
      <c r="K23" s="78"/>
      <c r="L23" s="79">
        <f t="shared" si="10"/>
        <v>0.75</v>
      </c>
      <c r="M23" s="79">
        <f>35/2</f>
        <v>17.5</v>
      </c>
      <c r="N23" s="81">
        <f t="shared" si="7"/>
        <v>0</v>
      </c>
      <c r="O23" s="102"/>
      <c r="P23" s="103"/>
      <c r="S23" s="91" t="s">
        <v>62</v>
      </c>
      <c r="T23" s="78"/>
      <c r="U23" s="79">
        <f t="shared" si="11"/>
        <v>0.75</v>
      </c>
      <c r="V23" s="79">
        <f>35/2</f>
        <v>17.5</v>
      </c>
      <c r="W23" s="81">
        <f t="shared" si="8"/>
        <v>0</v>
      </c>
      <c r="X23" s="102"/>
      <c r="Y23" s="103"/>
    </row>
    <row r="24" spans="1:25" x14ac:dyDescent="0.35">
      <c r="A24" s="91" t="s">
        <v>63</v>
      </c>
      <c r="B24" s="78">
        <v>3</v>
      </c>
      <c r="C24" s="79">
        <f t="shared" si="6"/>
        <v>0.75</v>
      </c>
      <c r="D24" s="79">
        <f>20/2</f>
        <v>10</v>
      </c>
      <c r="E24" s="79">
        <f t="shared" si="9"/>
        <v>22.5</v>
      </c>
      <c r="F24" s="102"/>
      <c r="G24" s="103"/>
      <c r="J24" s="91" t="s">
        <v>63</v>
      </c>
      <c r="K24" s="78"/>
      <c r="L24" s="79">
        <f t="shared" si="10"/>
        <v>0.75</v>
      </c>
      <c r="M24" s="79">
        <f>20/2</f>
        <v>10</v>
      </c>
      <c r="N24" s="81">
        <f t="shared" si="7"/>
        <v>0</v>
      </c>
      <c r="O24" s="102"/>
      <c r="P24" s="103"/>
      <c r="S24" s="91" t="s">
        <v>63</v>
      </c>
      <c r="T24" s="78">
        <v>6</v>
      </c>
      <c r="U24" s="79">
        <f t="shared" si="11"/>
        <v>0.75</v>
      </c>
      <c r="V24" s="79">
        <f>20/2</f>
        <v>10</v>
      </c>
      <c r="W24" s="81">
        <f t="shared" si="8"/>
        <v>45</v>
      </c>
      <c r="X24" s="102"/>
      <c r="Y24" s="103"/>
    </row>
    <row r="25" spans="1:25" x14ac:dyDescent="0.35">
      <c r="A25" s="91" t="s">
        <v>45</v>
      </c>
      <c r="B25" s="78"/>
      <c r="C25" s="79">
        <f t="shared" si="6"/>
        <v>0.75</v>
      </c>
      <c r="D25" s="79">
        <f>15/2</f>
        <v>7.5</v>
      </c>
      <c r="E25" s="79">
        <f t="shared" si="9"/>
        <v>0</v>
      </c>
      <c r="F25" s="102"/>
      <c r="G25" s="103"/>
      <c r="J25" s="91" t="s">
        <v>45</v>
      </c>
      <c r="K25" s="78"/>
      <c r="L25" s="79">
        <f t="shared" si="10"/>
        <v>0.75</v>
      </c>
      <c r="M25" s="79">
        <f>15/2</f>
        <v>7.5</v>
      </c>
      <c r="N25" s="81">
        <f t="shared" si="7"/>
        <v>0</v>
      </c>
      <c r="O25" s="102"/>
      <c r="P25" s="103"/>
      <c r="S25" s="91" t="s">
        <v>45</v>
      </c>
      <c r="T25" s="78"/>
      <c r="U25" s="79">
        <f t="shared" si="11"/>
        <v>0.75</v>
      </c>
      <c r="V25" s="79">
        <f>15/2</f>
        <v>7.5</v>
      </c>
      <c r="W25" s="81">
        <f t="shared" si="8"/>
        <v>0</v>
      </c>
      <c r="X25" s="102"/>
      <c r="Y25" s="103"/>
    </row>
    <row r="26" spans="1:25" x14ac:dyDescent="0.35">
      <c r="A26" s="91" t="s">
        <v>46</v>
      </c>
      <c r="B26" s="78"/>
      <c r="C26" s="79">
        <f t="shared" si="6"/>
        <v>0.75</v>
      </c>
      <c r="D26" s="79">
        <f>15/2</f>
        <v>7.5</v>
      </c>
      <c r="E26" s="79">
        <f t="shared" si="9"/>
        <v>0</v>
      </c>
      <c r="F26" s="102"/>
      <c r="G26" s="103"/>
      <c r="J26" s="91" t="s">
        <v>46</v>
      </c>
      <c r="K26" s="78"/>
      <c r="L26" s="79">
        <f t="shared" si="10"/>
        <v>0.75</v>
      </c>
      <c r="M26" s="79">
        <f>15/2</f>
        <v>7.5</v>
      </c>
      <c r="N26" s="81">
        <f t="shared" si="7"/>
        <v>0</v>
      </c>
      <c r="O26" s="102"/>
      <c r="P26" s="103"/>
      <c r="S26" s="91" t="s">
        <v>46</v>
      </c>
      <c r="T26" s="78">
        <v>2</v>
      </c>
      <c r="U26" s="79">
        <f t="shared" si="11"/>
        <v>0.75</v>
      </c>
      <c r="V26" s="79">
        <f>15/2</f>
        <v>7.5</v>
      </c>
      <c r="W26" s="81">
        <f t="shared" si="8"/>
        <v>11.25</v>
      </c>
      <c r="X26" s="102"/>
      <c r="Y26" s="103"/>
    </row>
    <row r="27" spans="1:25" x14ac:dyDescent="0.35">
      <c r="A27" s="91" t="s">
        <v>47</v>
      </c>
      <c r="B27" s="78"/>
      <c r="C27" s="79">
        <f t="shared" si="6"/>
        <v>0.75</v>
      </c>
      <c r="D27" s="79">
        <f>20/2</f>
        <v>10</v>
      </c>
      <c r="E27" s="79">
        <f t="shared" si="9"/>
        <v>0</v>
      </c>
      <c r="F27" s="102"/>
      <c r="G27" s="103"/>
      <c r="J27" s="91" t="s">
        <v>47</v>
      </c>
      <c r="K27" s="78"/>
      <c r="L27" s="79">
        <f t="shared" si="10"/>
        <v>0.75</v>
      </c>
      <c r="M27" s="79">
        <f>20/2</f>
        <v>10</v>
      </c>
      <c r="N27" s="81">
        <f t="shared" si="7"/>
        <v>0</v>
      </c>
      <c r="O27" s="102"/>
      <c r="P27" s="103"/>
      <c r="S27" s="91" t="s">
        <v>47</v>
      </c>
      <c r="T27" s="78"/>
      <c r="U27" s="79">
        <f t="shared" si="11"/>
        <v>0.75</v>
      </c>
      <c r="V27" s="79">
        <f>20/2</f>
        <v>10</v>
      </c>
      <c r="W27" s="81">
        <f t="shared" si="8"/>
        <v>0</v>
      </c>
      <c r="X27" s="102"/>
      <c r="Y27" s="103"/>
    </row>
    <row r="28" spans="1:25" x14ac:dyDescent="0.35">
      <c r="A28" s="91" t="s">
        <v>48</v>
      </c>
      <c r="B28" s="78"/>
      <c r="C28" s="79">
        <f t="shared" si="6"/>
        <v>0.75</v>
      </c>
      <c r="D28" s="79">
        <f>25/2</f>
        <v>12.5</v>
      </c>
      <c r="E28" s="79">
        <f t="shared" si="9"/>
        <v>0</v>
      </c>
      <c r="F28" s="102"/>
      <c r="G28" s="103"/>
      <c r="J28" s="91" t="s">
        <v>48</v>
      </c>
      <c r="K28" s="78"/>
      <c r="L28" s="79">
        <f t="shared" si="10"/>
        <v>0.75</v>
      </c>
      <c r="M28" s="79">
        <f>25/2</f>
        <v>12.5</v>
      </c>
      <c r="N28" s="81">
        <f t="shared" si="7"/>
        <v>0</v>
      </c>
      <c r="O28" s="102"/>
      <c r="P28" s="103"/>
      <c r="S28" s="91" t="s">
        <v>48</v>
      </c>
      <c r="T28" s="78"/>
      <c r="U28" s="79">
        <f t="shared" si="11"/>
        <v>0.75</v>
      </c>
      <c r="V28" s="79">
        <f>25/2</f>
        <v>12.5</v>
      </c>
      <c r="W28" s="81">
        <f t="shared" si="8"/>
        <v>0</v>
      </c>
      <c r="X28" s="102"/>
      <c r="Y28" s="103"/>
    </row>
    <row r="29" spans="1:25" x14ac:dyDescent="0.35">
      <c r="A29" s="91" t="s">
        <v>64</v>
      </c>
      <c r="B29" s="78"/>
      <c r="C29" s="79">
        <f t="shared" si="6"/>
        <v>0.75</v>
      </c>
      <c r="D29" s="79">
        <f>30/2</f>
        <v>15</v>
      </c>
      <c r="E29" s="79">
        <f t="shared" si="9"/>
        <v>0</v>
      </c>
      <c r="F29" s="102"/>
      <c r="G29" s="103"/>
      <c r="J29" s="91" t="s">
        <v>64</v>
      </c>
      <c r="K29" s="78">
        <v>10</v>
      </c>
      <c r="L29" s="79">
        <f t="shared" si="10"/>
        <v>0.75</v>
      </c>
      <c r="M29" s="79">
        <f>30/2</f>
        <v>15</v>
      </c>
      <c r="N29" s="81">
        <f t="shared" si="7"/>
        <v>112.5</v>
      </c>
      <c r="O29" s="102"/>
      <c r="P29" s="103"/>
      <c r="S29" s="91" t="s">
        <v>64</v>
      </c>
      <c r="T29" s="78"/>
      <c r="U29" s="79">
        <f t="shared" si="11"/>
        <v>0.75</v>
      </c>
      <c r="V29" s="79">
        <f>30/2</f>
        <v>15</v>
      </c>
      <c r="W29" s="81">
        <f t="shared" si="8"/>
        <v>0</v>
      </c>
      <c r="X29" s="102"/>
      <c r="Y29" s="103"/>
    </row>
    <row r="30" spans="1:25" x14ac:dyDescent="0.35">
      <c r="A30" s="83" t="s">
        <v>39</v>
      </c>
      <c r="B30" s="84">
        <f>SUM(B18:B29)</f>
        <v>36</v>
      </c>
      <c r="C30" s="84">
        <f>AVERAGE(C18:C29)</f>
        <v>0.75</v>
      </c>
      <c r="D30" s="86"/>
      <c r="E30" s="92">
        <f>SUM(E18:E29)</f>
        <v>114.75</v>
      </c>
      <c r="F30" s="102"/>
      <c r="G30" s="103"/>
      <c r="J30" s="83" t="s">
        <v>39</v>
      </c>
      <c r="K30" s="84">
        <f>SUM(K18:K29)</f>
        <v>36</v>
      </c>
      <c r="L30" s="84">
        <f>AVERAGE(L18:L29)</f>
        <v>0.75</v>
      </c>
      <c r="M30" s="86"/>
      <c r="N30" s="92">
        <f>SUM(N18:N29)</f>
        <v>198.75</v>
      </c>
      <c r="O30" s="102"/>
      <c r="P30" s="103"/>
      <c r="S30" s="83" t="s">
        <v>39</v>
      </c>
      <c r="T30" s="84">
        <f>SUM(T18:T29)</f>
        <v>36</v>
      </c>
      <c r="U30" s="84">
        <f>AVERAGE(U18:U29)</f>
        <v>0.75</v>
      </c>
      <c r="V30" s="86"/>
      <c r="W30" s="92">
        <f>SUM(W18:W29)</f>
        <v>387.75</v>
      </c>
      <c r="X30" s="102"/>
      <c r="Y30" s="103"/>
    </row>
    <row r="31" spans="1:25" x14ac:dyDescent="0.35">
      <c r="A31" s="101" t="s">
        <v>40</v>
      </c>
      <c r="B31" s="101"/>
      <c r="C31" s="101"/>
      <c r="D31" s="101"/>
      <c r="E31" s="88">
        <f>B30</f>
        <v>36</v>
      </c>
      <c r="F31" s="102"/>
      <c r="G31" s="103"/>
      <c r="J31" s="101" t="s">
        <v>40</v>
      </c>
      <c r="K31" s="101"/>
      <c r="L31" s="101"/>
      <c r="M31" s="101"/>
      <c r="N31" s="88">
        <f>K30</f>
        <v>36</v>
      </c>
      <c r="O31" s="102"/>
      <c r="P31" s="103"/>
      <c r="S31" s="101" t="s">
        <v>40</v>
      </c>
      <c r="T31" s="101"/>
      <c r="U31" s="101"/>
      <c r="V31" s="101"/>
      <c r="W31" s="88">
        <f>T30</f>
        <v>36</v>
      </c>
      <c r="X31" s="102"/>
      <c r="Y31" s="103"/>
    </row>
    <row r="32" spans="1:25" x14ac:dyDescent="0.35">
      <c r="A32" s="101" t="s">
        <v>41</v>
      </c>
      <c r="B32" s="101"/>
      <c r="C32" s="101"/>
      <c r="D32" s="101"/>
      <c r="E32" s="89">
        <v>25</v>
      </c>
      <c r="F32" s="102"/>
      <c r="G32" s="103"/>
      <c r="J32" s="101" t="s">
        <v>41</v>
      </c>
      <c r="K32" s="101"/>
      <c r="L32" s="101"/>
      <c r="M32" s="101"/>
      <c r="N32" s="89">
        <v>25</v>
      </c>
      <c r="O32" s="102"/>
      <c r="P32" s="103"/>
      <c r="S32" s="101" t="s">
        <v>41</v>
      </c>
      <c r="T32" s="101"/>
      <c r="U32" s="101"/>
      <c r="V32" s="101"/>
      <c r="W32" s="89">
        <v>25</v>
      </c>
      <c r="X32" s="102"/>
      <c r="Y32" s="103"/>
    </row>
    <row r="33" spans="1:25" x14ac:dyDescent="0.35">
      <c r="A33" s="101" t="s">
        <v>42</v>
      </c>
      <c r="B33" s="101"/>
      <c r="C33" s="101"/>
      <c r="D33" s="101"/>
      <c r="E33" s="90">
        <f>E31/E32</f>
        <v>1.44</v>
      </c>
      <c r="F33" s="102"/>
      <c r="G33" s="103"/>
      <c r="J33" s="101" t="s">
        <v>42</v>
      </c>
      <c r="K33" s="101"/>
      <c r="L33" s="101"/>
      <c r="M33" s="101"/>
      <c r="N33" s="90">
        <f>N31/N32</f>
        <v>1.44</v>
      </c>
      <c r="O33" s="102"/>
      <c r="P33" s="103"/>
      <c r="S33" s="101" t="s">
        <v>42</v>
      </c>
      <c r="T33" s="101"/>
      <c r="U33" s="101"/>
      <c r="V33" s="101"/>
      <c r="W33" s="90">
        <f>W31/W32</f>
        <v>1.44</v>
      </c>
      <c r="X33" s="102"/>
      <c r="Y33" s="103"/>
    </row>
    <row r="34" spans="1:25" ht="29" x14ac:dyDescent="0.35">
      <c r="A34" s="76" t="s">
        <v>5</v>
      </c>
      <c r="B34" s="74" t="s">
        <v>25</v>
      </c>
      <c r="C34" s="74" t="s">
        <v>23</v>
      </c>
      <c r="D34" s="74" t="s">
        <v>26</v>
      </c>
      <c r="E34" s="74" t="s">
        <v>20</v>
      </c>
      <c r="F34" s="74" t="s">
        <v>65</v>
      </c>
      <c r="G34" s="74" t="s">
        <v>66</v>
      </c>
      <c r="J34" s="76" t="s">
        <v>5</v>
      </c>
      <c r="K34" s="74" t="s">
        <v>25</v>
      </c>
      <c r="L34" s="74" t="s">
        <v>23</v>
      </c>
      <c r="M34" s="74" t="s">
        <v>26</v>
      </c>
      <c r="N34" s="74" t="s">
        <v>20</v>
      </c>
      <c r="O34" s="74" t="s">
        <v>65</v>
      </c>
      <c r="P34" s="74" t="s">
        <v>66</v>
      </c>
      <c r="S34" s="76" t="s">
        <v>5</v>
      </c>
      <c r="T34" s="74" t="s">
        <v>25</v>
      </c>
      <c r="U34" s="74" t="s">
        <v>23</v>
      </c>
      <c r="V34" s="74" t="s">
        <v>26</v>
      </c>
      <c r="W34" s="74" t="s">
        <v>20</v>
      </c>
      <c r="X34" s="74" t="s">
        <v>65</v>
      </c>
      <c r="Y34" s="74" t="s">
        <v>66</v>
      </c>
    </row>
    <row r="35" spans="1:25" x14ac:dyDescent="0.35">
      <c r="A35" s="93" t="s">
        <v>49</v>
      </c>
      <c r="B35" s="78">
        <v>198</v>
      </c>
      <c r="C35" s="79">
        <f t="shared" ref="C35:C44" si="12">IF($E$48&lt;0.75,0,IF($E$48&lt;0.9,0.15,IF($E$48&lt;1.1,0.25,IF($E$48&lt;1.4,0.45,0.75))))</f>
        <v>0.75</v>
      </c>
      <c r="D35" s="79">
        <f>2/5</f>
        <v>0.4</v>
      </c>
      <c r="E35" s="79">
        <f>B35*C35*D35</f>
        <v>59.400000000000006</v>
      </c>
      <c r="F35" s="102">
        <f>IFERROR(IF(IF(E48&lt;0.75,0,MIN(((165/65)*(E48-0.75)*100)+55,220,E45))&gt;220,220,IF(E48&lt;0.75,0,MIN(((165/65)*(E48-0.75)*100)+55,220,E45))),"0")</f>
        <v>100.46250000000001</v>
      </c>
      <c r="G35" s="103" t="str">
        <f>IFERROR(IF(E48&lt;140%,"0",IF(E48&lt;160%,"11",IF(E48&lt;180%,"22",IF(E48&lt;190%,"33",IF(E48&lt;200%,"44","55"))))),"0")</f>
        <v>55</v>
      </c>
      <c r="J35" s="93" t="s">
        <v>49</v>
      </c>
      <c r="K35" s="78">
        <v>250</v>
      </c>
      <c r="L35" s="79">
        <f>IF($N$48&lt;0.75,0,IF($N$48&lt;0.9,0.15,IF($N$48&lt;1.1,0.25,IF($N$48&lt;1.4,0.45,0.75))))</f>
        <v>0.45</v>
      </c>
      <c r="M35" s="79">
        <f>2/5</f>
        <v>0.4</v>
      </c>
      <c r="N35" s="81">
        <f t="shared" ref="N35:N39" si="13">K35*L35*M35</f>
        <v>45</v>
      </c>
      <c r="O35" s="102">
        <f>IFERROR(IF(IF(N48&lt;0.75,0,MIN(((165/65)*(N48-0.75)*100)+55,220,N45))&gt;220,220,IF(N48&lt;0.75,0,MIN(((165/65)*(N48-0.75)*100)+55,220,N45))),"0")</f>
        <v>109.72499999999999</v>
      </c>
      <c r="P35" s="103" t="str">
        <f>IFERROR(IF(N48&lt;140%,"0",IF(N48&lt;160%,"11",IF(N48&lt;180%,"22",IF(N48&lt;190%,"33",IF(N48&lt;200%,"44","55"))))),"0")</f>
        <v>0</v>
      </c>
      <c r="S35" s="93" t="s">
        <v>49</v>
      </c>
      <c r="T35" s="78">
        <v>200</v>
      </c>
      <c r="U35" s="79">
        <f>IF($W$48&lt;0.75,0,IF($W$48&lt;0.9,0.15,IF($W$48&lt;1.1,0.25,IF($W$48&lt;1.4,0.45,0.75))))</f>
        <v>0.75</v>
      </c>
      <c r="V35" s="79">
        <f>2/5</f>
        <v>0.4</v>
      </c>
      <c r="W35" s="81">
        <f t="shared" ref="W35:W39" si="14">T35*U35*V35</f>
        <v>60</v>
      </c>
      <c r="X35" s="102">
        <f>IFERROR(IF(IF(W48&lt;0.75,0,MIN(((165/65)*(W48-0.75)*100)+55,220,W45))&gt;220,220,IF(W48&lt;0.75,0,MIN(((165/65)*(W48-0.75)*100)+55,220,W45))),"0")</f>
        <v>220</v>
      </c>
      <c r="Y35" s="103" t="str">
        <f>IFERROR(IF(W48&lt;140%,"0",IF(W48&lt;160%,"11",IF(W48&lt;180%,"22",IF(W48&lt;190%,"33",IF(W48&lt;200%,"44","55"))))),"0")</f>
        <v>55</v>
      </c>
    </row>
    <row r="36" spans="1:25" x14ac:dyDescent="0.35">
      <c r="A36" s="93" t="s">
        <v>50</v>
      </c>
      <c r="B36" s="78">
        <v>9</v>
      </c>
      <c r="C36" s="79">
        <f t="shared" si="12"/>
        <v>0.75</v>
      </c>
      <c r="D36" s="79">
        <f>3/4</f>
        <v>0.75</v>
      </c>
      <c r="E36" s="80">
        <f t="shared" ref="E36:E39" si="15">B36*C36*D36</f>
        <v>5.0625</v>
      </c>
      <c r="F36" s="102"/>
      <c r="G36" s="103"/>
      <c r="J36" s="93" t="s">
        <v>50</v>
      </c>
      <c r="K36" s="78">
        <v>70</v>
      </c>
      <c r="L36" s="79">
        <f t="shared" ref="L36:L39" si="16">IF($N$48&lt;0.75,0,IF($N$48&lt;0.9,0.15,IF($N$48&lt;1.1,0.25,IF($N$48&lt;1.4,0.45,0.75))))</f>
        <v>0.45</v>
      </c>
      <c r="M36" s="79">
        <f>3/4</f>
        <v>0.75</v>
      </c>
      <c r="N36" s="81">
        <f t="shared" si="13"/>
        <v>23.625</v>
      </c>
      <c r="O36" s="102"/>
      <c r="P36" s="103"/>
      <c r="S36" s="93" t="s">
        <v>50</v>
      </c>
      <c r="T36" s="78">
        <v>83</v>
      </c>
      <c r="U36" s="79">
        <f t="shared" ref="U36:U39" si="17">IF($W$48&lt;0.75,0,IF($W$48&lt;0.9,0.15,IF($W$48&lt;1.1,0.25,IF($W$48&lt;1.4,0.45,0.75))))</f>
        <v>0.75</v>
      </c>
      <c r="V36" s="79">
        <f>3/4</f>
        <v>0.75</v>
      </c>
      <c r="W36" s="81">
        <f t="shared" si="14"/>
        <v>46.6875</v>
      </c>
      <c r="X36" s="102"/>
      <c r="Y36" s="103"/>
    </row>
    <row r="37" spans="1:25" x14ac:dyDescent="0.35">
      <c r="A37" s="93" t="s">
        <v>51</v>
      </c>
      <c r="B37" s="78">
        <v>6</v>
      </c>
      <c r="C37" s="79">
        <f t="shared" si="12"/>
        <v>0.75</v>
      </c>
      <c r="D37" s="80">
        <f>4/3</f>
        <v>1.3333333333333333</v>
      </c>
      <c r="E37" s="79">
        <f t="shared" si="15"/>
        <v>6</v>
      </c>
      <c r="F37" s="102"/>
      <c r="G37" s="103"/>
      <c r="J37" s="93" t="s">
        <v>51</v>
      </c>
      <c r="K37" s="78">
        <v>55</v>
      </c>
      <c r="L37" s="79">
        <f t="shared" si="16"/>
        <v>0.45</v>
      </c>
      <c r="M37" s="80">
        <f>4/3</f>
        <v>1.3333333333333333</v>
      </c>
      <c r="N37" s="81">
        <f t="shared" si="13"/>
        <v>33</v>
      </c>
      <c r="O37" s="102"/>
      <c r="P37" s="103"/>
      <c r="S37" s="93" t="s">
        <v>51</v>
      </c>
      <c r="T37" s="78">
        <v>33</v>
      </c>
      <c r="U37" s="79">
        <f t="shared" si="17"/>
        <v>0.75</v>
      </c>
      <c r="V37" s="80">
        <f>4/3</f>
        <v>1.3333333333333333</v>
      </c>
      <c r="W37" s="81">
        <f t="shared" si="14"/>
        <v>33</v>
      </c>
      <c r="X37" s="102"/>
      <c r="Y37" s="103"/>
    </row>
    <row r="38" spans="1:25" x14ac:dyDescent="0.35">
      <c r="A38" s="94" t="s">
        <v>52</v>
      </c>
      <c r="B38" s="78"/>
      <c r="C38" s="79">
        <f t="shared" si="12"/>
        <v>0.75</v>
      </c>
      <c r="D38" s="79">
        <f>6/2</f>
        <v>3</v>
      </c>
      <c r="E38" s="79">
        <f>B38*C38*D38</f>
        <v>0</v>
      </c>
      <c r="F38" s="102"/>
      <c r="G38" s="103"/>
      <c r="J38" s="94" t="s">
        <v>52</v>
      </c>
      <c r="K38" s="78">
        <v>6</v>
      </c>
      <c r="L38" s="79">
        <f t="shared" si="16"/>
        <v>0.45</v>
      </c>
      <c r="M38" s="79">
        <f>6/2</f>
        <v>3</v>
      </c>
      <c r="N38" s="81">
        <f t="shared" si="13"/>
        <v>8.1000000000000014</v>
      </c>
      <c r="O38" s="102"/>
      <c r="P38" s="103"/>
      <c r="S38" s="94" t="s">
        <v>52</v>
      </c>
      <c r="T38" s="78">
        <v>12</v>
      </c>
      <c r="U38" s="79">
        <f t="shared" si="17"/>
        <v>0.75</v>
      </c>
      <c r="V38" s="79">
        <f>6/2</f>
        <v>3</v>
      </c>
      <c r="W38" s="81">
        <f t="shared" si="14"/>
        <v>27</v>
      </c>
      <c r="X38" s="102"/>
      <c r="Y38" s="103"/>
    </row>
    <row r="39" spans="1:25" x14ac:dyDescent="0.35">
      <c r="A39" s="94" t="s">
        <v>53</v>
      </c>
      <c r="B39" s="78">
        <v>8</v>
      </c>
      <c r="C39" s="79">
        <f t="shared" si="12"/>
        <v>0.75</v>
      </c>
      <c r="D39" s="79">
        <f>10/2</f>
        <v>5</v>
      </c>
      <c r="E39" s="79">
        <f t="shared" si="15"/>
        <v>30</v>
      </c>
      <c r="F39" s="102"/>
      <c r="G39" s="103"/>
      <c r="J39" s="94" t="s">
        <v>53</v>
      </c>
      <c r="K39" s="78"/>
      <c r="L39" s="79">
        <f t="shared" si="16"/>
        <v>0.45</v>
      </c>
      <c r="M39" s="79">
        <f>10/2</f>
        <v>5</v>
      </c>
      <c r="N39" s="81">
        <f t="shared" si="13"/>
        <v>0</v>
      </c>
      <c r="O39" s="102"/>
      <c r="P39" s="103"/>
      <c r="S39" s="94" t="s">
        <v>53</v>
      </c>
      <c r="T39" s="78">
        <v>15</v>
      </c>
      <c r="U39" s="79">
        <f t="shared" si="17"/>
        <v>0.75</v>
      </c>
      <c r="V39" s="79">
        <f>10/2</f>
        <v>5</v>
      </c>
      <c r="W39" s="81">
        <f t="shared" si="14"/>
        <v>56.25</v>
      </c>
      <c r="X39" s="102"/>
      <c r="Y39" s="103"/>
    </row>
    <row r="40" spans="1:25" hidden="1" x14ac:dyDescent="0.35">
      <c r="A40" s="93" t="s">
        <v>54</v>
      </c>
      <c r="B40" s="78"/>
      <c r="C40" s="78">
        <f t="shared" si="12"/>
        <v>0.75</v>
      </c>
      <c r="D40" s="78">
        <f>3/2</f>
        <v>1.5</v>
      </c>
      <c r="E40" s="95">
        <f>B40*C40*D40</f>
        <v>0</v>
      </c>
      <c r="F40" s="102"/>
      <c r="G40" s="103"/>
      <c r="J40" s="93" t="s">
        <v>54</v>
      </c>
      <c r="K40" s="78"/>
      <c r="L40" s="78">
        <f>IF($E$48&lt;0.75,0,IF($E$48&lt;0.9,0.15,IF($E$48&lt;1.1,0.25,IF($E$48&lt;1.4,0.45,0.75))))</f>
        <v>0.75</v>
      </c>
      <c r="M40" s="78">
        <f>3/2</f>
        <v>1.5</v>
      </c>
      <c r="N40" s="95">
        <f>K40*L40*M40</f>
        <v>0</v>
      </c>
      <c r="O40" s="102"/>
      <c r="P40" s="103"/>
      <c r="S40" s="93" t="s">
        <v>54</v>
      </c>
      <c r="T40" s="78"/>
      <c r="U40" s="78">
        <f>IF($E$48&lt;0.75,0,IF($E$48&lt;0.9,0.15,IF($E$48&lt;1.1,0.25,IF($E$48&lt;1.4,0.45,0.75))))</f>
        <v>0.75</v>
      </c>
      <c r="V40" s="78">
        <f>3/2</f>
        <v>1.5</v>
      </c>
      <c r="W40" s="95">
        <f>T40*U40*V40</f>
        <v>0</v>
      </c>
      <c r="X40" s="102"/>
      <c r="Y40" s="103"/>
    </row>
    <row r="41" spans="1:25" hidden="1" x14ac:dyDescent="0.35">
      <c r="A41" s="93" t="s">
        <v>55</v>
      </c>
      <c r="B41" s="78"/>
      <c r="C41" s="78">
        <f t="shared" si="12"/>
        <v>0.75</v>
      </c>
      <c r="D41" s="78">
        <f>5/2</f>
        <v>2.5</v>
      </c>
      <c r="E41" s="95">
        <f>B41*C41*D41</f>
        <v>0</v>
      </c>
      <c r="F41" s="102"/>
      <c r="G41" s="103"/>
      <c r="J41" s="93" t="s">
        <v>55</v>
      </c>
      <c r="K41" s="78"/>
      <c r="L41" s="78">
        <f>IF($E$48&lt;0.75,0,IF($E$48&lt;0.9,0.15,IF($E$48&lt;1.1,0.25,IF($E$48&lt;1.4,0.45,0.75))))</f>
        <v>0.75</v>
      </c>
      <c r="M41" s="78">
        <f>5/2</f>
        <v>2.5</v>
      </c>
      <c r="N41" s="95">
        <f>K41*L41*M41</f>
        <v>0</v>
      </c>
      <c r="O41" s="102"/>
      <c r="P41" s="103"/>
      <c r="S41" s="93" t="s">
        <v>55</v>
      </c>
      <c r="T41" s="78"/>
      <c r="U41" s="78">
        <f>IF($E$48&lt;0.75,0,IF($E$48&lt;0.9,0.15,IF($E$48&lt;1.1,0.25,IF($E$48&lt;1.4,0.45,0.75))))</f>
        <v>0.75</v>
      </c>
      <c r="V41" s="78">
        <f>5/2</f>
        <v>2.5</v>
      </c>
      <c r="W41" s="95">
        <f>T41*U41*V41</f>
        <v>0</v>
      </c>
      <c r="X41" s="102"/>
      <c r="Y41" s="103"/>
    </row>
    <row r="42" spans="1:25" hidden="1" x14ac:dyDescent="0.35">
      <c r="A42" s="93" t="s">
        <v>56</v>
      </c>
      <c r="B42" s="78"/>
      <c r="C42" s="78">
        <f t="shared" si="12"/>
        <v>0.75</v>
      </c>
      <c r="D42" s="78">
        <f>7/2</f>
        <v>3.5</v>
      </c>
      <c r="E42" s="95">
        <f>B42*C42*D42</f>
        <v>0</v>
      </c>
      <c r="F42" s="102"/>
      <c r="G42" s="103"/>
      <c r="J42" s="93" t="s">
        <v>56</v>
      </c>
      <c r="K42" s="78"/>
      <c r="L42" s="78">
        <f>IF($E$48&lt;0.75,0,IF($E$48&lt;0.9,0.15,IF($E$48&lt;1.1,0.25,IF($E$48&lt;1.4,0.45,0.75))))</f>
        <v>0.75</v>
      </c>
      <c r="M42" s="78">
        <f>7/2</f>
        <v>3.5</v>
      </c>
      <c r="N42" s="95">
        <f>K42*L42*M42</f>
        <v>0</v>
      </c>
      <c r="O42" s="102"/>
      <c r="P42" s="103"/>
      <c r="S42" s="93" t="s">
        <v>56</v>
      </c>
      <c r="T42" s="78"/>
      <c r="U42" s="78">
        <f>IF($E$48&lt;0.75,0,IF($E$48&lt;0.9,0.15,IF($E$48&lt;1.1,0.25,IF($E$48&lt;1.4,0.45,0.75))))</f>
        <v>0.75</v>
      </c>
      <c r="V42" s="78">
        <f>7/2</f>
        <v>3.5</v>
      </c>
      <c r="W42" s="95">
        <f>T42*U42*V42</f>
        <v>0</v>
      </c>
      <c r="X42" s="102"/>
      <c r="Y42" s="103"/>
    </row>
    <row r="43" spans="1:25" hidden="1" x14ac:dyDescent="0.35">
      <c r="A43" s="93" t="s">
        <v>57</v>
      </c>
      <c r="B43" s="78"/>
      <c r="C43" s="78">
        <f t="shared" si="12"/>
        <v>0.75</v>
      </c>
      <c r="D43" s="78">
        <f>10/2</f>
        <v>5</v>
      </c>
      <c r="E43" s="95">
        <f>B43*C43*D43</f>
        <v>0</v>
      </c>
      <c r="F43" s="102"/>
      <c r="G43" s="103"/>
      <c r="J43" s="93" t="s">
        <v>57</v>
      </c>
      <c r="K43" s="78"/>
      <c r="L43" s="78">
        <f>IF($E$48&lt;0.75,0,IF($E$48&lt;0.9,0.15,IF($E$48&lt;1.1,0.25,IF($E$48&lt;1.4,0.45,0.75))))</f>
        <v>0.75</v>
      </c>
      <c r="M43" s="78">
        <f>10/2</f>
        <v>5</v>
      </c>
      <c r="N43" s="95">
        <f>K43*L43*M43</f>
        <v>0</v>
      </c>
      <c r="O43" s="102"/>
      <c r="P43" s="103"/>
      <c r="S43" s="93" t="s">
        <v>57</v>
      </c>
      <c r="T43" s="78"/>
      <c r="U43" s="78">
        <f>IF($E$48&lt;0.75,0,IF($E$48&lt;0.9,0.15,IF($E$48&lt;1.1,0.25,IF($E$48&lt;1.4,0.45,0.75))))</f>
        <v>0.75</v>
      </c>
      <c r="V43" s="78">
        <f>10/2</f>
        <v>5</v>
      </c>
      <c r="W43" s="95">
        <f>T43*U43*V43</f>
        <v>0</v>
      </c>
      <c r="X43" s="102"/>
      <c r="Y43" s="103"/>
    </row>
    <row r="44" spans="1:25" hidden="1" x14ac:dyDescent="0.35">
      <c r="A44" s="93" t="s">
        <v>58</v>
      </c>
      <c r="B44" s="78"/>
      <c r="C44" s="78">
        <f t="shared" si="12"/>
        <v>0.75</v>
      </c>
      <c r="D44" s="78">
        <f>15/2</f>
        <v>7.5</v>
      </c>
      <c r="E44" s="95">
        <f>B44*C44*D44</f>
        <v>0</v>
      </c>
      <c r="F44" s="102"/>
      <c r="G44" s="103"/>
      <c r="J44" s="93" t="s">
        <v>58</v>
      </c>
      <c r="K44" s="78"/>
      <c r="L44" s="78">
        <f>IF($E$48&lt;0.75,0,IF($E$48&lt;0.9,0.15,IF($E$48&lt;1.1,0.25,IF($E$48&lt;1.4,0.45,0.75))))</f>
        <v>0.75</v>
      </c>
      <c r="M44" s="78">
        <f>15/2</f>
        <v>7.5</v>
      </c>
      <c r="N44" s="95">
        <f>K44*L44*M44</f>
        <v>0</v>
      </c>
      <c r="O44" s="102"/>
      <c r="P44" s="103"/>
      <c r="S44" s="93" t="s">
        <v>58</v>
      </c>
      <c r="T44" s="78"/>
      <c r="U44" s="78">
        <f>IF($E$48&lt;0.75,0,IF($E$48&lt;0.9,0.15,IF($E$48&lt;1.1,0.25,IF($E$48&lt;1.4,0.45,0.75))))</f>
        <v>0.75</v>
      </c>
      <c r="V44" s="78">
        <f>15/2</f>
        <v>7.5</v>
      </c>
      <c r="W44" s="95">
        <f>T44*U44*V44</f>
        <v>0</v>
      </c>
      <c r="X44" s="102"/>
      <c r="Y44" s="103"/>
    </row>
    <row r="45" spans="1:25" x14ac:dyDescent="0.35">
      <c r="A45" s="83" t="s">
        <v>39</v>
      </c>
      <c r="B45" s="84">
        <f>SUM(B35:B44)</f>
        <v>221</v>
      </c>
      <c r="C45" s="85">
        <f>AVERAGE(C35:C44)</f>
        <v>0.75</v>
      </c>
      <c r="D45" s="86"/>
      <c r="E45" s="96">
        <f>SUM(E35:E44)</f>
        <v>100.46250000000001</v>
      </c>
      <c r="F45" s="102"/>
      <c r="G45" s="103"/>
      <c r="J45" s="83" t="s">
        <v>39</v>
      </c>
      <c r="K45" s="84">
        <f>SUM(K35:K44)</f>
        <v>381</v>
      </c>
      <c r="L45" s="85">
        <f>AVERAGE(L35:L44)</f>
        <v>0.6</v>
      </c>
      <c r="M45" s="86"/>
      <c r="N45" s="96">
        <f>SUM(N35:N44)</f>
        <v>109.72499999999999</v>
      </c>
      <c r="O45" s="102"/>
      <c r="P45" s="103"/>
      <c r="S45" s="83" t="s">
        <v>39</v>
      </c>
      <c r="T45" s="84">
        <f>SUM(T35:T44)</f>
        <v>343</v>
      </c>
      <c r="U45" s="85">
        <f>AVERAGE(U35:U44)</f>
        <v>0.75</v>
      </c>
      <c r="V45" s="86"/>
      <c r="W45" s="96">
        <f>SUM(W35:W44)</f>
        <v>222.9375</v>
      </c>
      <c r="X45" s="102"/>
      <c r="Y45" s="103"/>
    </row>
    <row r="46" spans="1:25" x14ac:dyDescent="0.35">
      <c r="A46" s="101" t="s">
        <v>40</v>
      </c>
      <c r="B46" s="101"/>
      <c r="C46" s="101"/>
      <c r="D46" s="101"/>
      <c r="E46" s="88">
        <f>B45</f>
        <v>221</v>
      </c>
      <c r="F46" s="102"/>
      <c r="G46" s="103"/>
      <c r="J46" s="101" t="s">
        <v>40</v>
      </c>
      <c r="K46" s="101"/>
      <c r="L46" s="101"/>
      <c r="M46" s="101"/>
      <c r="N46" s="88">
        <f>K45</f>
        <v>381</v>
      </c>
      <c r="O46" s="102"/>
      <c r="P46" s="103"/>
      <c r="S46" s="101" t="s">
        <v>40</v>
      </c>
      <c r="T46" s="101"/>
      <c r="U46" s="101"/>
      <c r="V46" s="101"/>
      <c r="W46" s="88">
        <f>T45</f>
        <v>343</v>
      </c>
      <c r="X46" s="102"/>
      <c r="Y46" s="103"/>
    </row>
    <row r="47" spans="1:25" x14ac:dyDescent="0.35">
      <c r="A47" s="101" t="s">
        <v>41</v>
      </c>
      <c r="B47" s="101"/>
      <c r="C47" s="101"/>
      <c r="D47" s="101"/>
      <c r="E47" s="89">
        <v>145</v>
      </c>
      <c r="F47" s="102"/>
      <c r="G47" s="103"/>
      <c r="J47" s="101" t="s">
        <v>41</v>
      </c>
      <c r="K47" s="101"/>
      <c r="L47" s="101"/>
      <c r="M47" s="101"/>
      <c r="N47" s="89">
        <v>300</v>
      </c>
      <c r="O47" s="102"/>
      <c r="P47" s="103"/>
      <c r="S47" s="101" t="s">
        <v>41</v>
      </c>
      <c r="T47" s="101"/>
      <c r="U47" s="101"/>
      <c r="V47" s="101"/>
      <c r="W47" s="89">
        <v>144</v>
      </c>
      <c r="X47" s="102"/>
      <c r="Y47" s="103"/>
    </row>
    <row r="48" spans="1:25" x14ac:dyDescent="0.35">
      <c r="A48" s="101" t="s">
        <v>42</v>
      </c>
      <c r="B48" s="101"/>
      <c r="C48" s="101"/>
      <c r="D48" s="101"/>
      <c r="E48" s="90">
        <v>2</v>
      </c>
      <c r="F48" s="102"/>
      <c r="G48" s="103"/>
      <c r="J48" s="101" t="s">
        <v>42</v>
      </c>
      <c r="K48" s="101"/>
      <c r="L48" s="101"/>
      <c r="M48" s="101"/>
      <c r="N48" s="90">
        <f>N46/N47</f>
        <v>1.27</v>
      </c>
      <c r="O48" s="102"/>
      <c r="P48" s="103"/>
      <c r="S48" s="101" t="s">
        <v>42</v>
      </c>
      <c r="T48" s="101"/>
      <c r="U48" s="101"/>
      <c r="V48" s="101"/>
      <c r="W48" s="90">
        <f>W46/W47</f>
        <v>2.3819444444444446</v>
      </c>
      <c r="X48" s="102"/>
      <c r="Y48" s="103"/>
    </row>
    <row r="50" spans="1:22" x14ac:dyDescent="0.35">
      <c r="J50" s="97" t="s">
        <v>65</v>
      </c>
      <c r="K50" s="97" t="s">
        <v>66</v>
      </c>
      <c r="L50" s="97" t="s">
        <v>6</v>
      </c>
      <c r="M50" s="98" t="s">
        <v>97</v>
      </c>
      <c r="S50" s="97" t="s">
        <v>65</v>
      </c>
      <c r="T50" s="97" t="s">
        <v>66</v>
      </c>
      <c r="U50" s="97" t="s">
        <v>6</v>
      </c>
      <c r="V50" s="98" t="s">
        <v>97</v>
      </c>
    </row>
    <row r="51" spans="1:22" x14ac:dyDescent="0.35">
      <c r="A51" s="97" t="s">
        <v>65</v>
      </c>
      <c r="B51" s="97" t="s">
        <v>66</v>
      </c>
      <c r="C51" s="97" t="s">
        <v>6</v>
      </c>
      <c r="D51" s="98" t="s">
        <v>97</v>
      </c>
      <c r="J51" s="99">
        <f>O2+O18+O35</f>
        <v>617.22500000000002</v>
      </c>
      <c r="K51" s="99">
        <f>P2+P18+P35</f>
        <v>35</v>
      </c>
      <c r="L51" s="99">
        <v>80</v>
      </c>
      <c r="M51" s="100">
        <f>SUM(J51:L51)</f>
        <v>732.22500000000002</v>
      </c>
      <c r="S51" s="99">
        <f>X2+X18+X35</f>
        <v>920</v>
      </c>
      <c r="T51" s="99">
        <f>Y2+Y18+Y35+20</f>
        <v>110</v>
      </c>
      <c r="U51" s="99">
        <v>80</v>
      </c>
      <c r="V51" s="100">
        <f>SUM(S51:U51)</f>
        <v>1110</v>
      </c>
    </row>
    <row r="52" spans="1:22" x14ac:dyDescent="0.35">
      <c r="A52" s="99">
        <f>F2+F18+F35</f>
        <v>470.21249999999998</v>
      </c>
      <c r="B52" s="99">
        <f>G2+G18+G35</f>
        <v>90</v>
      </c>
      <c r="C52" s="99">
        <v>8</v>
      </c>
      <c r="D52" s="100">
        <f>SUM(A52:C52)</f>
        <v>568.21249999999998</v>
      </c>
    </row>
  </sheetData>
  <sheetProtection password="F202" sheet="1" objects="1" scenarios="1"/>
  <mergeCells count="45">
    <mergeCell ref="X2:X16"/>
    <mergeCell ref="Y2:Y16"/>
    <mergeCell ref="A14:D14"/>
    <mergeCell ref="J14:M14"/>
    <mergeCell ref="S14:V14"/>
    <mergeCell ref="A15:D15"/>
    <mergeCell ref="J15:M15"/>
    <mergeCell ref="S15:V15"/>
    <mergeCell ref="F2:F16"/>
    <mergeCell ref="G2:G16"/>
    <mergeCell ref="O2:O16"/>
    <mergeCell ref="P2:P16"/>
    <mergeCell ref="A16:D16"/>
    <mergeCell ref="J16:M16"/>
    <mergeCell ref="S16:V16"/>
    <mergeCell ref="F18:F33"/>
    <mergeCell ref="G18:G33"/>
    <mergeCell ref="O18:O33"/>
    <mergeCell ref="P18:P33"/>
    <mergeCell ref="S33:V33"/>
    <mergeCell ref="X35:X48"/>
    <mergeCell ref="Y35:Y48"/>
    <mergeCell ref="X18:X33"/>
    <mergeCell ref="Y18:Y33"/>
    <mergeCell ref="A31:D31"/>
    <mergeCell ref="J31:M31"/>
    <mergeCell ref="S31:V31"/>
    <mergeCell ref="A32:D32"/>
    <mergeCell ref="J32:M32"/>
    <mergeCell ref="S32:V32"/>
    <mergeCell ref="A33:D33"/>
    <mergeCell ref="J33:M33"/>
    <mergeCell ref="A48:D48"/>
    <mergeCell ref="J48:M48"/>
    <mergeCell ref="S48:V48"/>
    <mergeCell ref="A46:D46"/>
    <mergeCell ref="J46:M46"/>
    <mergeCell ref="S46:V46"/>
    <mergeCell ref="A47:D47"/>
    <mergeCell ref="J47:M47"/>
    <mergeCell ref="S47:V47"/>
    <mergeCell ref="F35:F48"/>
    <mergeCell ref="G35:G48"/>
    <mergeCell ref="O35:O48"/>
    <mergeCell ref="P35:P4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110" zoomScaleNormal="110" workbookViewId="0">
      <selection activeCell="B6" sqref="B6:D6"/>
    </sheetView>
  </sheetViews>
  <sheetFormatPr defaultRowHeight="14.5" x14ac:dyDescent="0.35"/>
  <cols>
    <col min="1" max="1" width="15" bestFit="1" customWidth="1"/>
    <col min="2" max="2" width="16.90625" bestFit="1" customWidth="1"/>
    <col min="3" max="3" width="16.08984375" bestFit="1" customWidth="1"/>
    <col min="4" max="4" width="19.6328125" bestFit="1" customWidth="1"/>
    <col min="5" max="6" width="18" customWidth="1"/>
  </cols>
  <sheetData>
    <row r="1" spans="1:6" ht="15" thickBot="1" x14ac:dyDescent="0.4">
      <c r="A1" s="106" t="s">
        <v>78</v>
      </c>
      <c r="B1" s="107"/>
      <c r="C1" s="107"/>
      <c r="D1" s="107"/>
      <c r="E1" s="107"/>
      <c r="F1" s="108"/>
    </row>
    <row r="2" spans="1:6" ht="18.5" x14ac:dyDescent="0.35">
      <c r="A2" s="63" t="s">
        <v>79</v>
      </c>
      <c r="B2" s="26" t="s">
        <v>9</v>
      </c>
      <c r="C2" s="26" t="s">
        <v>10</v>
      </c>
      <c r="D2" s="26" t="s">
        <v>11</v>
      </c>
      <c r="E2" s="26" t="s">
        <v>12</v>
      </c>
      <c r="F2" s="26" t="s">
        <v>13</v>
      </c>
    </row>
    <row r="3" spans="1:6" x14ac:dyDescent="0.35">
      <c r="A3" s="64" t="s">
        <v>80</v>
      </c>
      <c r="B3" s="58" t="s">
        <v>81</v>
      </c>
      <c r="C3" s="65" t="s">
        <v>82</v>
      </c>
      <c r="D3" s="65" t="s">
        <v>83</v>
      </c>
      <c r="E3" s="65" t="s">
        <v>84</v>
      </c>
      <c r="F3" s="66" t="s">
        <v>85</v>
      </c>
    </row>
    <row r="4" spans="1:6" x14ac:dyDescent="0.35">
      <c r="A4" s="64" t="s">
        <v>86</v>
      </c>
      <c r="B4" s="65">
        <v>-0.1</v>
      </c>
      <c r="C4" s="65">
        <v>0.05</v>
      </c>
      <c r="D4" s="65">
        <v>0.1</v>
      </c>
      <c r="E4" s="65">
        <v>0.15</v>
      </c>
      <c r="F4" s="65">
        <v>0.2</v>
      </c>
    </row>
    <row r="6" spans="1:6" x14ac:dyDescent="0.35">
      <c r="B6" s="109" t="s">
        <v>0</v>
      </c>
      <c r="C6" s="109"/>
      <c r="D6" s="109"/>
    </row>
    <row r="7" spans="1:6" x14ac:dyDescent="0.35">
      <c r="B7" s="11"/>
      <c r="C7" s="59" t="s">
        <v>20</v>
      </c>
      <c r="D7" s="59" t="s">
        <v>65</v>
      </c>
    </row>
    <row r="8" spans="1:6" x14ac:dyDescent="0.35">
      <c r="B8" s="11" t="s">
        <v>87</v>
      </c>
      <c r="C8" s="105">
        <v>1000</v>
      </c>
      <c r="D8" s="105"/>
    </row>
    <row r="9" spans="1:6" x14ac:dyDescent="0.35">
      <c r="B9" s="11" t="s">
        <v>88</v>
      </c>
      <c r="C9" s="105">
        <v>1000</v>
      </c>
      <c r="D9" s="105"/>
    </row>
    <row r="10" spans="1:6" x14ac:dyDescent="0.35">
      <c r="B10" s="11" t="s">
        <v>89</v>
      </c>
      <c r="C10" s="105">
        <v>1000</v>
      </c>
      <c r="D10" s="105"/>
    </row>
    <row r="11" spans="1:6" x14ac:dyDescent="0.35">
      <c r="B11" s="11" t="s">
        <v>90</v>
      </c>
      <c r="C11" s="105">
        <v>1000</v>
      </c>
      <c r="D11" s="105"/>
    </row>
    <row r="12" spans="1:6" x14ac:dyDescent="0.35">
      <c r="B12" s="67" t="s">
        <v>91</v>
      </c>
      <c r="C12" s="105">
        <f>SUM(C8:D11)</f>
        <v>4000</v>
      </c>
      <c r="D12" s="105">
        <f t="shared" ref="D12" si="0">SUM(D8:D11)</f>
        <v>0</v>
      </c>
    </row>
    <row r="13" spans="1:6" x14ac:dyDescent="0.35">
      <c r="B13" s="10" t="s">
        <v>9</v>
      </c>
      <c r="C13" s="68">
        <f>B4*C12</f>
        <v>-400</v>
      </c>
      <c r="D13" s="68">
        <f>C12+C13</f>
        <v>3600</v>
      </c>
      <c r="E13" s="69">
        <f>C11+C13</f>
        <v>600</v>
      </c>
    </row>
    <row r="14" spans="1:6" x14ac:dyDescent="0.35">
      <c r="B14" s="10" t="s">
        <v>10</v>
      </c>
      <c r="C14" s="68">
        <f>C4*C12</f>
        <v>200</v>
      </c>
      <c r="D14" s="68">
        <f>C12+C14</f>
        <v>4200</v>
      </c>
      <c r="E14" s="69">
        <f>C14+C11</f>
        <v>1200</v>
      </c>
    </row>
    <row r="15" spans="1:6" x14ac:dyDescent="0.35">
      <c r="B15" s="10" t="s">
        <v>11</v>
      </c>
      <c r="C15" s="68">
        <f>D4*C12</f>
        <v>400</v>
      </c>
      <c r="D15" s="68">
        <f>C12+C15</f>
        <v>4400</v>
      </c>
      <c r="E15" s="69">
        <f>C15+C11</f>
        <v>1400</v>
      </c>
    </row>
    <row r="16" spans="1:6" x14ac:dyDescent="0.35">
      <c r="B16" s="10" t="s">
        <v>12</v>
      </c>
      <c r="C16" s="68">
        <f>E4*C12</f>
        <v>600</v>
      </c>
      <c r="D16" s="68">
        <f>C12+C16</f>
        <v>4600</v>
      </c>
      <c r="E16" s="69">
        <f>C16+C11</f>
        <v>1600</v>
      </c>
    </row>
    <row r="17" spans="2:5" x14ac:dyDescent="0.35">
      <c r="B17" s="10" t="s">
        <v>13</v>
      </c>
      <c r="C17" s="68">
        <f>F4*C12</f>
        <v>800</v>
      </c>
      <c r="D17" s="68">
        <f>C12+C17</f>
        <v>4800</v>
      </c>
      <c r="E17" s="69">
        <f>C17+C11</f>
        <v>1800</v>
      </c>
    </row>
  </sheetData>
  <mergeCells count="7">
    <mergeCell ref="C11:D11"/>
    <mergeCell ref="C12:D12"/>
    <mergeCell ref="A1:F1"/>
    <mergeCell ref="B6:D6"/>
    <mergeCell ref="C8:D8"/>
    <mergeCell ref="C9:D9"/>
    <mergeCell ref="C10:D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Normal="100" workbookViewId="0">
      <selection activeCell="H17" sqref="H17"/>
    </sheetView>
  </sheetViews>
  <sheetFormatPr defaultRowHeight="14.5" x14ac:dyDescent="0.35"/>
  <cols>
    <col min="1" max="1" width="24.08984375" bestFit="1" customWidth="1"/>
    <col min="2" max="2" width="19.08984375" customWidth="1"/>
    <col min="3" max="5" width="14" customWidth="1"/>
    <col min="6" max="6" width="14.08984375" customWidth="1"/>
    <col min="7" max="9" width="12.08984375" bestFit="1" customWidth="1"/>
    <col min="10" max="10" width="12.54296875" bestFit="1" customWidth="1"/>
  </cols>
  <sheetData>
    <row r="1" spans="1:10" ht="15" thickBot="1" x14ac:dyDescent="0.4">
      <c r="A1" s="110" t="s">
        <v>0</v>
      </c>
      <c r="B1" s="111"/>
      <c r="C1" s="111"/>
      <c r="D1" s="111"/>
      <c r="E1" s="111"/>
      <c r="F1" s="112"/>
    </row>
    <row r="2" spans="1:10" x14ac:dyDescent="0.35">
      <c r="A2" s="2" t="s">
        <v>1</v>
      </c>
      <c r="B2" s="3">
        <v>0.35</v>
      </c>
      <c r="C2" s="3">
        <v>0.35</v>
      </c>
      <c r="D2" s="3">
        <v>0.22</v>
      </c>
      <c r="E2" s="3">
        <v>0.08</v>
      </c>
      <c r="F2" s="4">
        <v>0.99999999999999989</v>
      </c>
    </row>
    <row r="3" spans="1:10" x14ac:dyDescent="0.35">
      <c r="A3" s="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6"/>
    </row>
    <row r="4" spans="1:10" x14ac:dyDescent="0.35">
      <c r="A4" s="5" t="s">
        <v>7</v>
      </c>
      <c r="B4" s="7">
        <v>350</v>
      </c>
      <c r="C4" s="7">
        <v>350</v>
      </c>
      <c r="D4" s="7">
        <v>220</v>
      </c>
      <c r="E4" s="7">
        <v>80</v>
      </c>
      <c r="F4" s="8">
        <v>1000</v>
      </c>
    </row>
    <row r="5" spans="1:10" x14ac:dyDescent="0.35">
      <c r="B5" s="70">
        <f>B4-262.5</f>
        <v>87.5</v>
      </c>
    </row>
    <row r="6" spans="1:10" ht="15" thickBot="1" x14ac:dyDescent="0.4">
      <c r="B6" s="72">
        <f>B5/B4</f>
        <v>0.25</v>
      </c>
    </row>
    <row r="7" spans="1:10" ht="15" thickBot="1" x14ac:dyDescent="0.4">
      <c r="A7" s="113" t="s">
        <v>8</v>
      </c>
      <c r="B7" s="114"/>
      <c r="C7" s="114"/>
      <c r="D7" s="114"/>
      <c r="E7" s="114"/>
      <c r="F7" s="115"/>
    </row>
    <row r="8" spans="1:10" ht="29" x14ac:dyDescent="0.35">
      <c r="A8" s="9" t="s">
        <v>3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</row>
    <row r="9" spans="1:10" x14ac:dyDescent="0.35">
      <c r="A9" s="11" t="s">
        <v>14</v>
      </c>
      <c r="B9" s="12" t="s">
        <v>15</v>
      </c>
      <c r="C9" s="13" t="s">
        <v>16</v>
      </c>
      <c r="D9" s="14" t="s">
        <v>17</v>
      </c>
      <c r="E9" s="14" t="s">
        <v>18</v>
      </c>
      <c r="F9" s="14" t="s">
        <v>19</v>
      </c>
      <c r="G9" s="13" t="s">
        <v>16</v>
      </c>
      <c r="H9" s="14" t="s">
        <v>17</v>
      </c>
      <c r="I9" s="14" t="s">
        <v>18</v>
      </c>
      <c r="J9" s="14" t="s">
        <v>19</v>
      </c>
    </row>
    <row r="10" spans="1:10" x14ac:dyDescent="0.35">
      <c r="A10" s="11" t="s">
        <v>23</v>
      </c>
      <c r="B10" s="17">
        <v>0</v>
      </c>
      <c r="C10" s="18">
        <v>0.15</v>
      </c>
      <c r="D10" s="18">
        <v>0.25</v>
      </c>
      <c r="E10" s="19">
        <v>0.45</v>
      </c>
      <c r="F10" s="19">
        <v>0.75</v>
      </c>
      <c r="G10" s="11" t="s">
        <v>70</v>
      </c>
      <c r="H10" s="11" t="s">
        <v>71</v>
      </c>
      <c r="I10" s="11" t="s">
        <v>72</v>
      </c>
      <c r="J10" s="11" t="s">
        <v>73</v>
      </c>
    </row>
    <row r="11" spans="1:10" ht="15" thickBot="1" x14ac:dyDescent="0.4">
      <c r="A11" s="20"/>
      <c r="B11" s="21"/>
      <c r="C11" s="22"/>
      <c r="D11" s="22"/>
      <c r="E11" s="22"/>
      <c r="F11" s="22"/>
    </row>
    <row r="12" spans="1:10" ht="15" thickBot="1" x14ac:dyDescent="0.4">
      <c r="A12" s="113" t="s">
        <v>8</v>
      </c>
      <c r="B12" s="114"/>
      <c r="C12" s="114"/>
      <c r="D12" s="114"/>
      <c r="E12" s="114"/>
      <c r="F12" s="115"/>
    </row>
    <row r="13" spans="1:10" ht="29" x14ac:dyDescent="0.35">
      <c r="A13" s="9" t="s">
        <v>4</v>
      </c>
      <c r="B13" s="10" t="s">
        <v>9</v>
      </c>
      <c r="C13" s="10" t="s">
        <v>10</v>
      </c>
      <c r="D13" s="10" t="s">
        <v>11</v>
      </c>
      <c r="E13" s="10" t="s">
        <v>12</v>
      </c>
      <c r="F13" s="10" t="s">
        <v>13</v>
      </c>
    </row>
    <row r="14" spans="1:10" x14ac:dyDescent="0.35">
      <c r="A14" s="11" t="s">
        <v>14</v>
      </c>
      <c r="B14" s="12" t="s">
        <v>15</v>
      </c>
      <c r="C14" s="13" t="s">
        <v>16</v>
      </c>
      <c r="D14" s="14" t="s">
        <v>17</v>
      </c>
      <c r="E14" s="14" t="s">
        <v>18</v>
      </c>
      <c r="F14" s="14" t="s">
        <v>19</v>
      </c>
    </row>
    <row r="15" spans="1:10" x14ac:dyDescent="0.35">
      <c r="A15" s="11" t="s">
        <v>23</v>
      </c>
      <c r="B15" s="17">
        <v>0</v>
      </c>
      <c r="C15" s="18">
        <v>0.15</v>
      </c>
      <c r="D15" s="18">
        <v>0.25</v>
      </c>
      <c r="E15" s="19">
        <v>0.45</v>
      </c>
      <c r="F15" s="19">
        <v>0.75</v>
      </c>
    </row>
    <row r="16" spans="1:10" ht="15" thickBot="1" x14ac:dyDescent="0.4">
      <c r="A16" s="20"/>
      <c r="B16" s="21"/>
      <c r="C16" s="23"/>
      <c r="D16" s="23"/>
      <c r="E16" s="23"/>
      <c r="F16" s="23"/>
    </row>
    <row r="17" spans="1:6" ht="15" thickBot="1" x14ac:dyDescent="0.4">
      <c r="A17" s="113" t="s">
        <v>8</v>
      </c>
      <c r="B17" s="114"/>
      <c r="C17" s="114"/>
      <c r="D17" s="114"/>
      <c r="E17" s="114"/>
      <c r="F17" s="115"/>
    </row>
    <row r="18" spans="1:6" ht="29" x14ac:dyDescent="0.35">
      <c r="A18" s="9" t="s">
        <v>5</v>
      </c>
      <c r="B18" s="10" t="s">
        <v>9</v>
      </c>
      <c r="C18" s="10" t="s">
        <v>10</v>
      </c>
      <c r="D18" s="10" t="s">
        <v>11</v>
      </c>
      <c r="E18" s="10" t="s">
        <v>12</v>
      </c>
      <c r="F18" s="10" t="s">
        <v>13</v>
      </c>
    </row>
    <row r="19" spans="1:6" x14ac:dyDescent="0.35">
      <c r="A19" s="11" t="s">
        <v>14</v>
      </c>
      <c r="B19" s="12" t="s">
        <v>15</v>
      </c>
      <c r="C19" s="13" t="s">
        <v>16</v>
      </c>
      <c r="D19" s="14" t="s">
        <v>17</v>
      </c>
      <c r="E19" s="14" t="s">
        <v>18</v>
      </c>
      <c r="F19" s="14" t="s">
        <v>19</v>
      </c>
    </row>
    <row r="20" spans="1:6" x14ac:dyDescent="0.35">
      <c r="A20" s="11" t="s">
        <v>23</v>
      </c>
      <c r="B20" s="17">
        <v>0</v>
      </c>
      <c r="C20" s="18">
        <v>0.15</v>
      </c>
      <c r="D20" s="18">
        <v>0.25</v>
      </c>
      <c r="E20" s="19">
        <v>0.45</v>
      </c>
      <c r="F20" s="19">
        <v>0.75</v>
      </c>
    </row>
    <row r="21" spans="1:6" ht="15" thickBot="1" x14ac:dyDescent="0.4">
      <c r="A21" s="20"/>
      <c r="C21" s="24"/>
      <c r="D21" s="24"/>
      <c r="E21" s="24"/>
      <c r="F21" s="24"/>
    </row>
    <row r="22" spans="1:6" ht="15" thickBot="1" x14ac:dyDescent="0.4">
      <c r="A22" s="113" t="s">
        <v>8</v>
      </c>
      <c r="B22" s="114"/>
      <c r="C22" s="114"/>
      <c r="D22" s="114"/>
      <c r="E22" s="114"/>
      <c r="F22" s="115"/>
    </row>
    <row r="23" spans="1:6" ht="29" x14ac:dyDescent="0.35">
      <c r="A23" s="25" t="s">
        <v>6</v>
      </c>
      <c r="B23" s="26" t="s">
        <v>9</v>
      </c>
      <c r="C23" s="26" t="s">
        <v>10</v>
      </c>
      <c r="D23" s="26" t="s">
        <v>11</v>
      </c>
      <c r="E23" s="26" t="s">
        <v>12</v>
      </c>
      <c r="F23" s="26" t="s">
        <v>13</v>
      </c>
    </row>
    <row r="24" spans="1:6" x14ac:dyDescent="0.35">
      <c r="A24" s="11" t="s">
        <v>14</v>
      </c>
      <c r="B24" s="12" t="s">
        <v>15</v>
      </c>
      <c r="C24" s="13" t="s">
        <v>16</v>
      </c>
      <c r="D24" s="14" t="s">
        <v>17</v>
      </c>
      <c r="E24" s="14" t="s">
        <v>18</v>
      </c>
      <c r="F24" s="14" t="s">
        <v>19</v>
      </c>
    </row>
    <row r="25" spans="1:6" x14ac:dyDescent="0.35">
      <c r="A25" s="11" t="s">
        <v>23</v>
      </c>
      <c r="B25" s="17">
        <v>0</v>
      </c>
      <c r="C25" s="19">
        <v>0.1</v>
      </c>
      <c r="D25" s="18">
        <v>0.15</v>
      </c>
      <c r="E25" s="19">
        <v>0.3</v>
      </c>
      <c r="F25" s="18">
        <v>0.5</v>
      </c>
    </row>
  </sheetData>
  <mergeCells count="5">
    <mergeCell ref="A1:F1"/>
    <mergeCell ref="A7:F7"/>
    <mergeCell ref="A12:F12"/>
    <mergeCell ref="A17:F17"/>
    <mergeCell ref="A22:F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8"/>
  <sheetViews>
    <sheetView tabSelected="1" zoomScale="80" zoomScaleNormal="80" workbookViewId="0">
      <selection activeCell="R12" sqref="R12"/>
    </sheetView>
  </sheetViews>
  <sheetFormatPr defaultRowHeight="14.5" x14ac:dyDescent="0.35"/>
  <cols>
    <col min="1" max="1" width="20.453125" bestFit="1" customWidth="1"/>
    <col min="2" max="2" width="10.54296875" bestFit="1" customWidth="1"/>
    <col min="3" max="3" width="18.54296875" bestFit="1" customWidth="1"/>
    <col min="5" max="5" width="21" customWidth="1"/>
    <col min="6" max="6" width="22.36328125" bestFit="1" customWidth="1"/>
    <col min="7" max="7" width="11.453125" bestFit="1" customWidth="1"/>
    <col min="8" max="8" width="18.453125" customWidth="1"/>
    <col min="9" max="10" width="0" hidden="1" customWidth="1"/>
    <col min="11" max="11" width="20.453125" hidden="1" customWidth="1"/>
    <col min="12" max="12" width="17.08984375" hidden="1" customWidth="1"/>
    <col min="13" max="13" width="11.453125" hidden="1" customWidth="1"/>
    <col min="14" max="14" width="0" hidden="1" customWidth="1"/>
  </cols>
  <sheetData>
    <row r="1" spans="1:17" ht="29" x14ac:dyDescent="0.35">
      <c r="A1" s="27" t="s">
        <v>3</v>
      </c>
      <c r="B1" s="61" t="s">
        <v>25</v>
      </c>
      <c r="C1" s="61" t="s">
        <v>23</v>
      </c>
      <c r="D1" s="61" t="s">
        <v>26</v>
      </c>
      <c r="E1" s="61" t="s">
        <v>69</v>
      </c>
      <c r="F1" s="62" t="s">
        <v>77</v>
      </c>
      <c r="G1" s="61" t="s">
        <v>65</v>
      </c>
      <c r="H1" s="61" t="s">
        <v>66</v>
      </c>
      <c r="P1">
        <f>140-75</f>
        <v>65</v>
      </c>
    </row>
    <row r="2" spans="1:17" x14ac:dyDescent="0.35">
      <c r="A2" s="28" t="s">
        <v>28</v>
      </c>
      <c r="B2" s="12">
        <v>37.5</v>
      </c>
      <c r="C2" s="12">
        <f>IF($F$16&lt;0.75,0,IF($F$16&lt;0.9,0.15,IF($F$16&lt;1.1,0.25,IF($F$16&lt;1.4,0.45,0.75))))</f>
        <v>0.15</v>
      </c>
      <c r="D2" s="14">
        <f>20/3</f>
        <v>6.666666666666667</v>
      </c>
      <c r="E2" s="29">
        <f t="shared" ref="E2:E12" si="0">B2*D2</f>
        <v>250</v>
      </c>
      <c r="F2" s="60">
        <f>C2*E2</f>
        <v>37.5</v>
      </c>
      <c r="G2" s="118">
        <f>IFERROR(IF(IF(F16&lt;0.75,0,MIN(((262.5/65)*(F16-0.75)*100)+87.5,350,F13))&gt;350,350,IF(F16&lt;0.75,0,MIN(((262.5/65)*(F16-0.75)*100)+87.5,350,F13))),"0")</f>
        <v>37.5</v>
      </c>
      <c r="H2" s="116" t="str">
        <f>IFERROR(IF(F16&lt;140%,"0",IF(F16&lt;160%,"17.5",IF(F16&lt;180%,"35",IF(F16&lt;190%,"53",IF(F16&lt;200%,"70","88"))))),"0")</f>
        <v>0</v>
      </c>
      <c r="I2">
        <f t="shared" ref="I2:I9" si="1">D2*2</f>
        <v>13.333333333333334</v>
      </c>
      <c r="K2" s="52" t="s">
        <v>74</v>
      </c>
      <c r="L2" s="53" t="s">
        <v>75</v>
      </c>
      <c r="M2" t="s">
        <v>76</v>
      </c>
      <c r="N2">
        <f>0.75*D2</f>
        <v>5</v>
      </c>
      <c r="P2">
        <v>140</v>
      </c>
      <c r="Q2" t="s">
        <v>92</v>
      </c>
    </row>
    <row r="3" spans="1:17" x14ac:dyDescent="0.35">
      <c r="A3" s="28" t="s">
        <v>29</v>
      </c>
      <c r="B3" s="12"/>
      <c r="C3" s="51">
        <f t="shared" ref="C3:C12" si="2">IF($F$16&lt;0.75,0,IF($F$16&lt;0.9,0.15,IF($F$16&lt;1.1,0.25,IF($F$16&lt;1.4,0.45,0.75))))</f>
        <v>0.15</v>
      </c>
      <c r="D3" s="14">
        <f>25/2</f>
        <v>12.5</v>
      </c>
      <c r="E3" s="29">
        <f t="shared" si="0"/>
        <v>0</v>
      </c>
      <c r="F3" s="60">
        <f t="shared" ref="F3:F12" si="3">C3*E3</f>
        <v>0</v>
      </c>
      <c r="G3" s="118"/>
      <c r="H3" s="116"/>
      <c r="I3">
        <f t="shared" si="1"/>
        <v>25</v>
      </c>
      <c r="K3" s="54" t="s">
        <v>4</v>
      </c>
      <c r="L3" s="55">
        <v>16.2</v>
      </c>
      <c r="M3">
        <f>AVERAGE(D18:D29)</f>
        <v>12.75</v>
      </c>
      <c r="P3">
        <v>75</v>
      </c>
      <c r="Q3" t="s">
        <v>93</v>
      </c>
    </row>
    <row r="4" spans="1:17" x14ac:dyDescent="0.35">
      <c r="A4" s="28" t="s">
        <v>30</v>
      </c>
      <c r="B4" s="12"/>
      <c r="C4" s="51">
        <f t="shared" si="2"/>
        <v>0.15</v>
      </c>
      <c r="D4" s="14">
        <f>28/2</f>
        <v>14</v>
      </c>
      <c r="E4" s="29">
        <f t="shared" si="0"/>
        <v>0</v>
      </c>
      <c r="F4" s="60">
        <f t="shared" si="3"/>
        <v>0</v>
      </c>
      <c r="G4" s="118"/>
      <c r="H4" s="116"/>
      <c r="I4">
        <f t="shared" si="1"/>
        <v>28</v>
      </c>
      <c r="K4" s="54" t="s">
        <v>3</v>
      </c>
      <c r="L4" s="55">
        <v>26.3</v>
      </c>
      <c r="M4" s="56">
        <f>AVERAGE(D2:D12)</f>
        <v>21.287878787878789</v>
      </c>
      <c r="P4" s="56">
        <f>P5-P6</f>
        <v>262.5</v>
      </c>
    </row>
    <row r="5" spans="1:17" x14ac:dyDescent="0.35">
      <c r="A5" s="28" t="s">
        <v>31</v>
      </c>
      <c r="B5" s="12"/>
      <c r="C5" s="51">
        <f t="shared" si="2"/>
        <v>0.15</v>
      </c>
      <c r="D5" s="30">
        <f>30/2</f>
        <v>15</v>
      </c>
      <c r="E5" s="29">
        <f t="shared" si="0"/>
        <v>0</v>
      </c>
      <c r="F5" s="60">
        <f t="shared" si="3"/>
        <v>0</v>
      </c>
      <c r="G5" s="118"/>
      <c r="H5" s="116"/>
      <c r="I5">
        <f t="shared" si="1"/>
        <v>30</v>
      </c>
      <c r="K5" s="54" t="s">
        <v>68</v>
      </c>
      <c r="L5" s="55">
        <v>4.8</v>
      </c>
      <c r="M5">
        <f>AVERAGE(D35:D39)</f>
        <v>2.0966666666666667</v>
      </c>
      <c r="P5">
        <v>350</v>
      </c>
      <c r="Q5" t="s">
        <v>94</v>
      </c>
    </row>
    <row r="6" spans="1:17" x14ac:dyDescent="0.35">
      <c r="A6" s="28" t="s">
        <v>32</v>
      </c>
      <c r="B6" s="12"/>
      <c r="C6" s="51">
        <f t="shared" si="2"/>
        <v>0.15</v>
      </c>
      <c r="D6" s="30">
        <f>35/2</f>
        <v>17.5</v>
      </c>
      <c r="E6" s="29">
        <f t="shared" si="0"/>
        <v>0</v>
      </c>
      <c r="F6" s="60">
        <f t="shared" si="3"/>
        <v>0</v>
      </c>
      <c r="G6" s="118"/>
      <c r="H6" s="116"/>
      <c r="I6">
        <f t="shared" si="1"/>
        <v>35</v>
      </c>
      <c r="P6" s="56">
        <v>87.5</v>
      </c>
      <c r="Q6" t="s">
        <v>95</v>
      </c>
    </row>
    <row r="7" spans="1:17" x14ac:dyDescent="0.35">
      <c r="A7" s="28" t="s">
        <v>33</v>
      </c>
      <c r="B7" s="12"/>
      <c r="C7" s="51">
        <f t="shared" si="2"/>
        <v>0.15</v>
      </c>
      <c r="D7" s="30">
        <f>45/2</f>
        <v>22.5</v>
      </c>
      <c r="E7" s="29">
        <f t="shared" si="0"/>
        <v>0</v>
      </c>
      <c r="F7" s="60">
        <f t="shared" si="3"/>
        <v>0</v>
      </c>
      <c r="G7" s="118"/>
      <c r="H7" s="116"/>
      <c r="I7">
        <f t="shared" si="1"/>
        <v>45</v>
      </c>
    </row>
    <row r="8" spans="1:17" x14ac:dyDescent="0.35">
      <c r="A8" s="28" t="s">
        <v>34</v>
      </c>
      <c r="B8" s="12"/>
      <c r="C8" s="51">
        <f t="shared" si="2"/>
        <v>0.15</v>
      </c>
      <c r="D8" s="30">
        <f>80/2</f>
        <v>40</v>
      </c>
      <c r="E8" s="29">
        <f t="shared" si="0"/>
        <v>0</v>
      </c>
      <c r="F8" s="60">
        <f t="shared" si="3"/>
        <v>0</v>
      </c>
      <c r="G8" s="118"/>
      <c r="H8" s="116"/>
      <c r="I8">
        <f t="shared" si="1"/>
        <v>80</v>
      </c>
      <c r="P8">
        <f>P5*25%</f>
        <v>87.5</v>
      </c>
    </row>
    <row r="9" spans="1:17" x14ac:dyDescent="0.35">
      <c r="A9" s="28" t="s">
        <v>35</v>
      </c>
      <c r="B9" s="12"/>
      <c r="C9" s="51">
        <f t="shared" si="2"/>
        <v>0.15</v>
      </c>
      <c r="D9" s="30">
        <f>35/2</f>
        <v>17.5</v>
      </c>
      <c r="E9" s="29">
        <f t="shared" si="0"/>
        <v>0</v>
      </c>
      <c r="F9" s="60">
        <f t="shared" si="3"/>
        <v>0</v>
      </c>
      <c r="G9" s="118"/>
      <c r="H9" s="116"/>
      <c r="I9">
        <f t="shared" si="1"/>
        <v>35</v>
      </c>
      <c r="P9">
        <f>P5-P8</f>
        <v>262.5</v>
      </c>
    </row>
    <row r="10" spans="1:17" x14ac:dyDescent="0.35">
      <c r="A10" s="28" t="s">
        <v>36</v>
      </c>
      <c r="B10" s="12"/>
      <c r="C10" s="51">
        <f t="shared" si="2"/>
        <v>0.15</v>
      </c>
      <c r="D10" s="30">
        <f>39/2</f>
        <v>19.5</v>
      </c>
      <c r="E10" s="29">
        <f t="shared" si="0"/>
        <v>0</v>
      </c>
      <c r="F10" s="60">
        <f t="shared" si="3"/>
        <v>0</v>
      </c>
      <c r="G10" s="118"/>
      <c r="H10" s="116"/>
      <c r="I10">
        <f>D10*2</f>
        <v>39</v>
      </c>
    </row>
    <row r="11" spans="1:17" x14ac:dyDescent="0.35">
      <c r="A11" s="28" t="s">
        <v>37</v>
      </c>
      <c r="B11" s="12"/>
      <c r="C11" s="51">
        <f t="shared" si="2"/>
        <v>0.15</v>
      </c>
      <c r="D11" s="30">
        <f>49/2</f>
        <v>24.5</v>
      </c>
      <c r="E11" s="29">
        <f t="shared" si="0"/>
        <v>0</v>
      </c>
      <c r="F11" s="60">
        <f t="shared" si="3"/>
        <v>0</v>
      </c>
      <c r="G11" s="118"/>
      <c r="H11" s="116"/>
      <c r="I11">
        <f t="shared" ref="I11:I12" si="4">D11*2</f>
        <v>49</v>
      </c>
    </row>
    <row r="12" spans="1:17" x14ac:dyDescent="0.35">
      <c r="A12" s="28" t="s">
        <v>38</v>
      </c>
      <c r="B12" s="12"/>
      <c r="C12" s="51">
        <f t="shared" si="2"/>
        <v>0.15</v>
      </c>
      <c r="D12" s="30">
        <f>89/2</f>
        <v>44.5</v>
      </c>
      <c r="E12" s="29">
        <f t="shared" si="0"/>
        <v>0</v>
      </c>
      <c r="F12" s="60">
        <f t="shared" si="3"/>
        <v>0</v>
      </c>
      <c r="G12" s="118"/>
      <c r="H12" s="116"/>
      <c r="I12">
        <f t="shared" si="4"/>
        <v>89</v>
      </c>
      <c r="P12">
        <f>E2*C2</f>
        <v>37.5</v>
      </c>
    </row>
    <row r="13" spans="1:17" hidden="1" x14ac:dyDescent="0.35">
      <c r="A13" s="31" t="s">
        <v>39</v>
      </c>
      <c r="B13" s="32">
        <f>SUM(B2:B12)</f>
        <v>37.5</v>
      </c>
      <c r="C13" s="33">
        <f>AVERAGE(C2:C12)</f>
        <v>0.14999999999999997</v>
      </c>
      <c r="D13" s="34"/>
      <c r="E13" s="35">
        <f>SUM(E2:E12)</f>
        <v>250</v>
      </c>
      <c r="F13" s="36">
        <f>SUM(F2:F12)</f>
        <v>37.5</v>
      </c>
      <c r="G13" s="118"/>
      <c r="H13" s="116"/>
    </row>
    <row r="14" spans="1:17" x14ac:dyDescent="0.35">
      <c r="A14" s="122" t="s">
        <v>40</v>
      </c>
      <c r="B14" s="122"/>
      <c r="C14" s="122"/>
      <c r="D14" s="122"/>
      <c r="E14" s="122"/>
      <c r="F14" s="37">
        <f>B13</f>
        <v>37.5</v>
      </c>
      <c r="G14" s="118"/>
      <c r="H14" s="116"/>
    </row>
    <row r="15" spans="1:17" x14ac:dyDescent="0.35">
      <c r="A15" s="122" t="s">
        <v>41</v>
      </c>
      <c r="B15" s="122"/>
      <c r="C15" s="122"/>
      <c r="D15" s="122"/>
      <c r="E15" s="122"/>
      <c r="F15" s="38">
        <v>50</v>
      </c>
      <c r="G15" s="118"/>
      <c r="H15" s="116"/>
    </row>
    <row r="16" spans="1:17" x14ac:dyDescent="0.35">
      <c r="A16" s="122" t="s">
        <v>42</v>
      </c>
      <c r="B16" s="122"/>
      <c r="C16" s="122"/>
      <c r="D16" s="122"/>
      <c r="E16" s="122"/>
      <c r="F16" s="71">
        <f>F14/F15</f>
        <v>0.75</v>
      </c>
      <c r="G16" s="118"/>
      <c r="H16" s="116"/>
    </row>
    <row r="17" spans="1:9" ht="29" x14ac:dyDescent="0.35">
      <c r="A17" s="27" t="s">
        <v>24</v>
      </c>
      <c r="B17" s="61" t="s">
        <v>25</v>
      </c>
      <c r="C17" s="61" t="s">
        <v>23</v>
      </c>
      <c r="D17" s="61" t="s">
        <v>26</v>
      </c>
      <c r="E17" s="61" t="s">
        <v>27</v>
      </c>
      <c r="F17" s="61" t="s">
        <v>20</v>
      </c>
      <c r="G17" s="61" t="s">
        <v>65</v>
      </c>
      <c r="H17" s="61" t="s">
        <v>66</v>
      </c>
    </row>
    <row r="18" spans="1:9" x14ac:dyDescent="0.35">
      <c r="A18" s="46" t="s">
        <v>43</v>
      </c>
      <c r="B18" s="12"/>
      <c r="C18" s="51" t="e">
        <f>IF($F$33&lt;0.75,0,IF($F$33&lt;0.9,0.15,IF($F$33&lt;1.1,0.25,IF($F$33&lt;1.4,0.45,0.75))))</f>
        <v>#DIV/0!</v>
      </c>
      <c r="D18" s="12">
        <f>3/6</f>
        <v>0.5</v>
      </c>
      <c r="E18" s="29">
        <f t="shared" ref="E18:E29" si="5">B18*D18</f>
        <v>0</v>
      </c>
      <c r="F18" s="12" t="e">
        <f>B18*C18*D18</f>
        <v>#DIV/0!</v>
      </c>
      <c r="G18" s="118" t="str">
        <f>IFERROR(IF(IF(F33&lt;0.75,0,MIN(((262.5/65)*(F33-0.75)*100)+87.5,350,F30))&gt;350,350,IF(F33&lt;0.75,0,MIN(((262.5/65)*(F33-0.75)*100)+87.5,350,F30))),"0")</f>
        <v>0</v>
      </c>
      <c r="H18" s="116" t="str">
        <f>IFERROR(IF(F33&lt;140%,"0",IF(F33&lt;160%,"17.5",IF(F33&lt;180%,"35",IF(F33&lt;190%,"53",IF(F33&lt;200%,"70","88"))))),"0")</f>
        <v>0</v>
      </c>
      <c r="I18">
        <v>3</v>
      </c>
    </row>
    <row r="19" spans="1:9" x14ac:dyDescent="0.35">
      <c r="A19" s="46" t="s">
        <v>44</v>
      </c>
      <c r="B19" s="12"/>
      <c r="C19" s="51" t="e">
        <f t="shared" ref="C19:C29" si="6">IF($F$33&lt;0.75,0,IF($F$33&lt;0.9,0.15,IF($F$33&lt;1.1,0.25,IF($F$33&lt;1.4,0.45,0.75))))</f>
        <v>#DIV/0!</v>
      </c>
      <c r="D19" s="12">
        <f>99/2</f>
        <v>49.5</v>
      </c>
      <c r="E19" s="29">
        <f t="shared" si="5"/>
        <v>0</v>
      </c>
      <c r="F19" s="12" t="e">
        <f t="shared" ref="F19:F29" si="7">B19*C19*D19</f>
        <v>#DIV/0!</v>
      </c>
      <c r="G19" s="118"/>
      <c r="H19" s="116"/>
      <c r="I19">
        <f t="shared" ref="I19:I29" si="8">D19*2</f>
        <v>99</v>
      </c>
    </row>
    <row r="20" spans="1:9" x14ac:dyDescent="0.35">
      <c r="A20" s="46" t="s">
        <v>59</v>
      </c>
      <c r="B20" s="12"/>
      <c r="C20" s="51" t="e">
        <f t="shared" si="6"/>
        <v>#DIV/0!</v>
      </c>
      <c r="D20" s="14">
        <f>9/3</f>
        <v>3</v>
      </c>
      <c r="E20" s="29">
        <f t="shared" si="5"/>
        <v>0</v>
      </c>
      <c r="F20" s="12" t="e">
        <f t="shared" si="7"/>
        <v>#DIV/0!</v>
      </c>
      <c r="G20" s="118"/>
      <c r="H20" s="116"/>
      <c r="I20">
        <f t="shared" si="8"/>
        <v>6</v>
      </c>
    </row>
    <row r="21" spans="1:9" x14ac:dyDescent="0.35">
      <c r="A21" s="46" t="s">
        <v>60</v>
      </c>
      <c r="B21" s="12"/>
      <c r="C21" s="51" t="e">
        <f t="shared" si="6"/>
        <v>#DIV/0!</v>
      </c>
      <c r="D21" s="12">
        <f>15/2</f>
        <v>7.5</v>
      </c>
      <c r="E21" s="29">
        <f t="shared" si="5"/>
        <v>0</v>
      </c>
      <c r="F21" s="12" t="e">
        <f t="shared" si="7"/>
        <v>#DIV/0!</v>
      </c>
      <c r="G21" s="118"/>
      <c r="H21" s="116"/>
      <c r="I21">
        <f t="shared" si="8"/>
        <v>15</v>
      </c>
    </row>
    <row r="22" spans="1:9" x14ac:dyDescent="0.35">
      <c r="A22" s="46" t="s">
        <v>61</v>
      </c>
      <c r="B22" s="12"/>
      <c r="C22" s="51" t="e">
        <f t="shared" si="6"/>
        <v>#DIV/0!</v>
      </c>
      <c r="D22" s="12">
        <f>25/2</f>
        <v>12.5</v>
      </c>
      <c r="E22" s="29">
        <f t="shared" si="5"/>
        <v>0</v>
      </c>
      <c r="F22" s="12" t="e">
        <f t="shared" si="7"/>
        <v>#DIV/0!</v>
      </c>
      <c r="G22" s="118"/>
      <c r="H22" s="116"/>
      <c r="I22">
        <f t="shared" si="8"/>
        <v>25</v>
      </c>
    </row>
    <row r="23" spans="1:9" x14ac:dyDescent="0.35">
      <c r="A23" s="46" t="s">
        <v>62</v>
      </c>
      <c r="B23" s="12"/>
      <c r="C23" s="51" t="e">
        <f t="shared" si="6"/>
        <v>#DIV/0!</v>
      </c>
      <c r="D23" s="12">
        <f>35/2</f>
        <v>17.5</v>
      </c>
      <c r="E23" s="29">
        <f t="shared" si="5"/>
        <v>0</v>
      </c>
      <c r="F23" s="12" t="e">
        <f t="shared" si="7"/>
        <v>#DIV/0!</v>
      </c>
      <c r="G23" s="118"/>
      <c r="H23" s="116"/>
      <c r="I23">
        <f t="shared" si="8"/>
        <v>35</v>
      </c>
    </row>
    <row r="24" spans="1:9" x14ac:dyDescent="0.35">
      <c r="A24" s="46" t="s">
        <v>63</v>
      </c>
      <c r="B24" s="12"/>
      <c r="C24" s="51" t="e">
        <f t="shared" si="6"/>
        <v>#DIV/0!</v>
      </c>
      <c r="D24" s="12">
        <f>20/2</f>
        <v>10</v>
      </c>
      <c r="E24" s="29">
        <f t="shared" si="5"/>
        <v>0</v>
      </c>
      <c r="F24" s="12" t="e">
        <f t="shared" si="7"/>
        <v>#DIV/0!</v>
      </c>
      <c r="G24" s="118"/>
      <c r="H24" s="116"/>
      <c r="I24">
        <f t="shared" si="8"/>
        <v>20</v>
      </c>
    </row>
    <row r="25" spans="1:9" x14ac:dyDescent="0.35">
      <c r="A25" s="46" t="s">
        <v>45</v>
      </c>
      <c r="B25" s="12"/>
      <c r="C25" s="51" t="e">
        <f t="shared" si="6"/>
        <v>#DIV/0!</v>
      </c>
      <c r="D25" s="12">
        <f>15/2</f>
        <v>7.5</v>
      </c>
      <c r="E25" s="29">
        <f t="shared" si="5"/>
        <v>0</v>
      </c>
      <c r="F25" s="12" t="e">
        <f t="shared" si="7"/>
        <v>#DIV/0!</v>
      </c>
      <c r="G25" s="118"/>
      <c r="H25" s="116"/>
      <c r="I25">
        <f t="shared" si="8"/>
        <v>15</v>
      </c>
    </row>
    <row r="26" spans="1:9" x14ac:dyDescent="0.35">
      <c r="A26" s="46" t="s">
        <v>46</v>
      </c>
      <c r="B26" s="12"/>
      <c r="C26" s="51" t="e">
        <f t="shared" si="6"/>
        <v>#DIV/0!</v>
      </c>
      <c r="D26" s="50">
        <f>15/2</f>
        <v>7.5</v>
      </c>
      <c r="E26" s="29">
        <f t="shared" si="5"/>
        <v>0</v>
      </c>
      <c r="F26" s="12" t="e">
        <f t="shared" si="7"/>
        <v>#DIV/0!</v>
      </c>
      <c r="G26" s="118"/>
      <c r="H26" s="116"/>
      <c r="I26">
        <f t="shared" si="8"/>
        <v>15</v>
      </c>
    </row>
    <row r="27" spans="1:9" x14ac:dyDescent="0.35">
      <c r="A27" s="46" t="s">
        <v>47</v>
      </c>
      <c r="B27" s="12"/>
      <c r="C27" s="51" t="e">
        <f t="shared" si="6"/>
        <v>#DIV/0!</v>
      </c>
      <c r="D27" s="12">
        <f>20/2</f>
        <v>10</v>
      </c>
      <c r="E27" s="29">
        <f t="shared" si="5"/>
        <v>0</v>
      </c>
      <c r="F27" s="12" t="e">
        <f t="shared" si="7"/>
        <v>#DIV/0!</v>
      </c>
      <c r="G27" s="118"/>
      <c r="H27" s="116"/>
      <c r="I27">
        <f t="shared" si="8"/>
        <v>20</v>
      </c>
    </row>
    <row r="28" spans="1:9" x14ac:dyDescent="0.35">
      <c r="A28" s="46" t="s">
        <v>48</v>
      </c>
      <c r="B28" s="12"/>
      <c r="C28" s="51" t="e">
        <f t="shared" si="6"/>
        <v>#DIV/0!</v>
      </c>
      <c r="D28" s="12">
        <f>25/2</f>
        <v>12.5</v>
      </c>
      <c r="E28" s="29">
        <f t="shared" si="5"/>
        <v>0</v>
      </c>
      <c r="F28" s="12" t="e">
        <f t="shared" si="7"/>
        <v>#DIV/0!</v>
      </c>
      <c r="G28" s="118"/>
      <c r="H28" s="116"/>
      <c r="I28">
        <f t="shared" si="8"/>
        <v>25</v>
      </c>
    </row>
    <row r="29" spans="1:9" x14ac:dyDescent="0.35">
      <c r="A29" s="46" t="s">
        <v>64</v>
      </c>
      <c r="B29" s="12"/>
      <c r="C29" s="51" t="e">
        <f t="shared" si="6"/>
        <v>#DIV/0!</v>
      </c>
      <c r="D29" s="12">
        <f>30/2</f>
        <v>15</v>
      </c>
      <c r="E29" s="29">
        <f t="shared" si="5"/>
        <v>0</v>
      </c>
      <c r="F29" s="12" t="e">
        <f t="shared" si="7"/>
        <v>#DIV/0!</v>
      </c>
      <c r="G29" s="118"/>
      <c r="H29" s="116"/>
      <c r="I29">
        <f t="shared" si="8"/>
        <v>30</v>
      </c>
    </row>
    <row r="30" spans="1:9" x14ac:dyDescent="0.35">
      <c r="A30" s="31" t="s">
        <v>39</v>
      </c>
      <c r="B30" s="32">
        <f>SUM(B18:B29)</f>
        <v>0</v>
      </c>
      <c r="C30" s="32" t="e">
        <f>AVERAGE(C18:C29)</f>
        <v>#DIV/0!</v>
      </c>
      <c r="D30" s="34"/>
      <c r="E30" s="41">
        <f>SUM(E18:E29)</f>
        <v>0</v>
      </c>
      <c r="F30" s="42" t="e">
        <f>SUM(F18:F29)</f>
        <v>#DIV/0!</v>
      </c>
      <c r="G30" s="118"/>
      <c r="H30" s="116"/>
    </row>
    <row r="31" spans="1:9" x14ac:dyDescent="0.35">
      <c r="A31" s="117" t="s">
        <v>40</v>
      </c>
      <c r="B31" s="117"/>
      <c r="C31" s="117"/>
      <c r="D31" s="117"/>
      <c r="E31" s="117"/>
      <c r="F31" s="37">
        <f>B30</f>
        <v>0</v>
      </c>
      <c r="G31" s="118"/>
      <c r="H31" s="116"/>
    </row>
    <row r="32" spans="1:9" x14ac:dyDescent="0.35">
      <c r="A32" s="117" t="s">
        <v>41</v>
      </c>
      <c r="B32" s="117"/>
      <c r="C32" s="117"/>
      <c r="D32" s="117"/>
      <c r="E32" s="117"/>
      <c r="F32" s="38">
        <v>0</v>
      </c>
      <c r="G32" s="118"/>
      <c r="H32" s="116"/>
    </row>
    <row r="33" spans="1:8" x14ac:dyDescent="0.35">
      <c r="A33" s="117" t="s">
        <v>42</v>
      </c>
      <c r="B33" s="117"/>
      <c r="C33" s="117"/>
      <c r="D33" s="117"/>
      <c r="E33" s="117"/>
      <c r="F33" s="39" t="e">
        <f>F31/F32</f>
        <v>#DIV/0!</v>
      </c>
      <c r="G33" s="118"/>
      <c r="H33" s="116"/>
    </row>
    <row r="34" spans="1:8" ht="29" x14ac:dyDescent="0.35">
      <c r="A34" s="43" t="s">
        <v>24</v>
      </c>
      <c r="B34" s="61" t="s">
        <v>25</v>
      </c>
      <c r="C34" s="61" t="s">
        <v>23</v>
      </c>
      <c r="D34" s="61" t="s">
        <v>26</v>
      </c>
      <c r="E34" s="61" t="s">
        <v>27</v>
      </c>
      <c r="F34" s="61" t="s">
        <v>20</v>
      </c>
      <c r="G34" s="61" t="s">
        <v>65</v>
      </c>
      <c r="H34" s="61" t="s">
        <v>66</v>
      </c>
    </row>
    <row r="35" spans="1:8" x14ac:dyDescent="0.35">
      <c r="A35" s="40" t="s">
        <v>49</v>
      </c>
      <c r="B35" s="12"/>
      <c r="C35" s="12" t="e">
        <f>IF($F$48&lt;0.75,0,IF($F$48&lt;0.9,0.15,IF($F$48&lt;1.1,0.25,IF($F$48&lt;1.4,0.45,0.75))))</f>
        <v>#DIV/0!</v>
      </c>
      <c r="D35" s="12">
        <f>2/5</f>
        <v>0.4</v>
      </c>
      <c r="E35" s="47">
        <f t="shared" ref="E35:E44" si="9">B35*D35</f>
        <v>0</v>
      </c>
      <c r="F35" s="13" t="e">
        <f>B35*C35*D35</f>
        <v>#DIV/0!</v>
      </c>
      <c r="G35" s="119" t="str">
        <f>IFERROR(IF(IF(F48&lt;0.75,0,MIN(((165/65)*(F48-0.75)*100)+55,220,F45))&gt;220,220,IF(F48&lt;0.75,0,MIN(((165/65)*(F48-0.75)*100)+55,220,F45))),"0")</f>
        <v>0</v>
      </c>
      <c r="H35" s="116" t="str">
        <f>IFERROR(IF(F48&lt;140%,"0",IF(F48&lt;160%,"11",IF(F48&lt;180%,"22",IF(F48&lt;190%,"33",IF(F48&lt;200%,"44","55"))))),"0")</f>
        <v>0</v>
      </c>
    </row>
    <row r="36" spans="1:8" x14ac:dyDescent="0.35">
      <c r="A36" s="40" t="s">
        <v>50</v>
      </c>
      <c r="B36" s="12"/>
      <c r="C36" s="51" t="e">
        <f t="shared" ref="C36:C44" si="10">IF($F$48&lt;0.75,0,IF($F$48&lt;0.9,0.15,IF($F$48&lt;1.1,0.25,IF($F$48&lt;1.4,0.45,0.75))))</f>
        <v>#DIV/0!</v>
      </c>
      <c r="D36" s="12">
        <f>3/4</f>
        <v>0.75</v>
      </c>
      <c r="E36" s="47">
        <f t="shared" si="9"/>
        <v>0</v>
      </c>
      <c r="F36" s="13" t="e">
        <f t="shared" ref="F36:F44" si="11">B36*C36*D36</f>
        <v>#DIV/0!</v>
      </c>
      <c r="G36" s="120"/>
      <c r="H36" s="116"/>
    </row>
    <row r="37" spans="1:8" x14ac:dyDescent="0.35">
      <c r="A37" s="40" t="s">
        <v>51</v>
      </c>
      <c r="B37" s="12"/>
      <c r="C37" s="51" t="e">
        <f t="shared" si="10"/>
        <v>#DIV/0!</v>
      </c>
      <c r="D37" s="14">
        <f>4/3</f>
        <v>1.3333333333333333</v>
      </c>
      <c r="E37" s="47">
        <f t="shared" si="9"/>
        <v>0</v>
      </c>
      <c r="F37" s="13" t="e">
        <f t="shared" si="11"/>
        <v>#DIV/0!</v>
      </c>
      <c r="G37" s="120"/>
      <c r="H37" s="116"/>
    </row>
    <row r="38" spans="1:8" x14ac:dyDescent="0.35">
      <c r="A38" s="44" t="s">
        <v>52</v>
      </c>
      <c r="B38" s="12"/>
      <c r="C38" s="51" t="e">
        <f t="shared" si="10"/>
        <v>#DIV/0!</v>
      </c>
      <c r="D38" s="12">
        <f>6/2</f>
        <v>3</v>
      </c>
      <c r="E38" s="47">
        <f t="shared" si="9"/>
        <v>0</v>
      </c>
      <c r="F38" s="13" t="e">
        <f t="shared" si="11"/>
        <v>#DIV/0!</v>
      </c>
      <c r="G38" s="120"/>
      <c r="H38" s="116"/>
    </row>
    <row r="39" spans="1:8" x14ac:dyDescent="0.35">
      <c r="A39" s="44" t="s">
        <v>53</v>
      </c>
      <c r="B39" s="12"/>
      <c r="C39" s="51" t="e">
        <f t="shared" si="10"/>
        <v>#DIV/0!</v>
      </c>
      <c r="D39" s="12">
        <f>10/2</f>
        <v>5</v>
      </c>
      <c r="E39" s="47">
        <f t="shared" si="9"/>
        <v>0</v>
      </c>
      <c r="F39" s="13" t="e">
        <f t="shared" si="11"/>
        <v>#DIV/0!</v>
      </c>
      <c r="G39" s="120"/>
      <c r="H39" s="116"/>
    </row>
    <row r="40" spans="1:8" x14ac:dyDescent="0.35">
      <c r="A40" s="40" t="s">
        <v>54</v>
      </c>
      <c r="B40" s="12"/>
      <c r="C40" s="51" t="e">
        <f t="shared" si="10"/>
        <v>#DIV/0!</v>
      </c>
      <c r="D40" s="12">
        <f>3/2</f>
        <v>1.5</v>
      </c>
      <c r="E40" s="47">
        <f t="shared" si="9"/>
        <v>0</v>
      </c>
      <c r="F40" s="13" t="e">
        <f t="shared" si="11"/>
        <v>#DIV/0!</v>
      </c>
      <c r="G40" s="120"/>
      <c r="H40" s="116"/>
    </row>
    <row r="41" spans="1:8" x14ac:dyDescent="0.35">
      <c r="A41" s="40" t="s">
        <v>55</v>
      </c>
      <c r="B41" s="12"/>
      <c r="C41" s="51" t="e">
        <f t="shared" si="10"/>
        <v>#DIV/0!</v>
      </c>
      <c r="D41" s="12">
        <f>5/2</f>
        <v>2.5</v>
      </c>
      <c r="E41" s="47">
        <f t="shared" si="9"/>
        <v>0</v>
      </c>
      <c r="F41" s="13" t="e">
        <f t="shared" si="11"/>
        <v>#DIV/0!</v>
      </c>
      <c r="G41" s="120"/>
      <c r="H41" s="116"/>
    </row>
    <row r="42" spans="1:8" x14ac:dyDescent="0.35">
      <c r="A42" s="40" t="s">
        <v>56</v>
      </c>
      <c r="B42" s="12"/>
      <c r="C42" s="51" t="e">
        <f t="shared" si="10"/>
        <v>#DIV/0!</v>
      </c>
      <c r="D42" s="12">
        <f>7/2</f>
        <v>3.5</v>
      </c>
      <c r="E42" s="47">
        <f t="shared" si="9"/>
        <v>0</v>
      </c>
      <c r="F42" s="13" t="e">
        <f t="shared" si="11"/>
        <v>#DIV/0!</v>
      </c>
      <c r="G42" s="120"/>
      <c r="H42" s="116"/>
    </row>
    <row r="43" spans="1:8" x14ac:dyDescent="0.35">
      <c r="A43" s="40" t="s">
        <v>57</v>
      </c>
      <c r="B43" s="12"/>
      <c r="C43" s="51" t="e">
        <f t="shared" si="10"/>
        <v>#DIV/0!</v>
      </c>
      <c r="D43" s="12">
        <f>10/2</f>
        <v>5</v>
      </c>
      <c r="E43" s="47">
        <f t="shared" si="9"/>
        <v>0</v>
      </c>
      <c r="F43" s="13" t="e">
        <f t="shared" si="11"/>
        <v>#DIV/0!</v>
      </c>
      <c r="G43" s="120"/>
      <c r="H43" s="116"/>
    </row>
    <row r="44" spans="1:8" x14ac:dyDescent="0.35">
      <c r="A44" s="40" t="s">
        <v>58</v>
      </c>
      <c r="B44" s="12"/>
      <c r="C44" s="51" t="e">
        <f t="shared" si="10"/>
        <v>#DIV/0!</v>
      </c>
      <c r="D44" s="12">
        <f>15/2</f>
        <v>7.5</v>
      </c>
      <c r="E44" s="47">
        <f t="shared" si="9"/>
        <v>0</v>
      </c>
      <c r="F44" s="13" t="e">
        <f t="shared" si="11"/>
        <v>#DIV/0!</v>
      </c>
      <c r="G44" s="120"/>
      <c r="H44" s="116"/>
    </row>
    <row r="45" spans="1:8" x14ac:dyDescent="0.35">
      <c r="A45" s="31" t="s">
        <v>39</v>
      </c>
      <c r="B45" s="32">
        <f>SUM(B35:B44)</f>
        <v>0</v>
      </c>
      <c r="C45" s="33" t="e">
        <f>AVERAGE(C35:C44)</f>
        <v>#DIV/0!</v>
      </c>
      <c r="D45" s="34"/>
      <c r="E45" s="48">
        <f>SUM(E35:E44)</f>
        <v>0</v>
      </c>
      <c r="F45" s="45" t="e">
        <f>SUM(F35:F44)</f>
        <v>#DIV/0!</v>
      </c>
      <c r="G45" s="120"/>
      <c r="H45" s="116"/>
    </row>
    <row r="46" spans="1:8" x14ac:dyDescent="0.35">
      <c r="A46" s="117" t="s">
        <v>40</v>
      </c>
      <c r="B46" s="117"/>
      <c r="C46" s="117"/>
      <c r="D46" s="117"/>
      <c r="E46" s="117"/>
      <c r="F46" s="37">
        <f>B45</f>
        <v>0</v>
      </c>
      <c r="G46" s="120"/>
      <c r="H46" s="116"/>
    </row>
    <row r="47" spans="1:8" x14ac:dyDescent="0.35">
      <c r="A47" s="117" t="s">
        <v>41</v>
      </c>
      <c r="B47" s="117"/>
      <c r="C47" s="117"/>
      <c r="D47" s="117"/>
      <c r="E47" s="117"/>
      <c r="F47" s="38">
        <v>0</v>
      </c>
      <c r="G47" s="120"/>
      <c r="H47" s="116"/>
    </row>
    <row r="48" spans="1:8" x14ac:dyDescent="0.35">
      <c r="A48" s="117" t="s">
        <v>42</v>
      </c>
      <c r="B48" s="117"/>
      <c r="C48" s="117"/>
      <c r="D48" s="117"/>
      <c r="E48" s="117"/>
      <c r="F48" s="39" t="e">
        <f>F46/F47</f>
        <v>#DIV/0!</v>
      </c>
      <c r="G48" s="121"/>
      <c r="H48" s="116"/>
    </row>
  </sheetData>
  <mergeCells count="15">
    <mergeCell ref="H2:H16"/>
    <mergeCell ref="H18:H33"/>
    <mergeCell ref="H35:H48"/>
    <mergeCell ref="A46:E46"/>
    <mergeCell ref="A47:E47"/>
    <mergeCell ref="A48:E48"/>
    <mergeCell ref="G2:G16"/>
    <mergeCell ref="G18:G33"/>
    <mergeCell ref="G35:G48"/>
    <mergeCell ref="A14:E14"/>
    <mergeCell ref="A15:E15"/>
    <mergeCell ref="A16:E16"/>
    <mergeCell ref="A31:E31"/>
    <mergeCell ref="A32:E32"/>
    <mergeCell ref="A33:E33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C3" sqref="C3"/>
    </sheetView>
  </sheetViews>
  <sheetFormatPr defaultRowHeight="14.5" x14ac:dyDescent="0.35"/>
  <cols>
    <col min="1" max="2" width="11.90625" bestFit="1" customWidth="1"/>
    <col min="3" max="3" width="10.453125" bestFit="1" customWidth="1"/>
    <col min="5" max="6" width="11.90625" bestFit="1" customWidth="1"/>
    <col min="9" max="10" width="11.90625" bestFit="1" customWidth="1"/>
  </cols>
  <sheetData>
    <row r="1" spans="1:11" x14ac:dyDescent="0.35">
      <c r="A1" s="123" t="s">
        <v>67</v>
      </c>
      <c r="B1" s="123"/>
      <c r="C1" s="123"/>
      <c r="E1" s="123" t="s">
        <v>68</v>
      </c>
      <c r="F1" s="123"/>
      <c r="G1" s="123"/>
      <c r="I1" s="123" t="s">
        <v>6</v>
      </c>
      <c r="J1" s="123"/>
      <c r="K1" s="123"/>
    </row>
    <row r="2" spans="1:11" x14ac:dyDescent="0.35">
      <c r="A2" s="15" t="s">
        <v>20</v>
      </c>
      <c r="B2" s="15" t="s">
        <v>21</v>
      </c>
      <c r="C2" s="15" t="s">
        <v>22</v>
      </c>
      <c r="E2" s="15" t="s">
        <v>20</v>
      </c>
      <c r="F2" s="15" t="s">
        <v>21</v>
      </c>
      <c r="G2" s="15" t="s">
        <v>22</v>
      </c>
      <c r="I2" s="15" t="s">
        <v>20</v>
      </c>
      <c r="J2" s="15" t="s">
        <v>21</v>
      </c>
      <c r="K2" s="15" t="s">
        <v>22</v>
      </c>
    </row>
    <row r="3" spans="1:11" x14ac:dyDescent="0.35">
      <c r="A3" s="11"/>
      <c r="B3" s="16">
        <v>0.75</v>
      </c>
      <c r="C3" s="49">
        <f>IFERROR(IF(IF(B3&lt;0.75,0,MIN(((262.5/65)*(B3-0.75)*100)+87.5,350,A3))&gt;350,350,IF(B3&lt;0.75,0,MIN(((262.5/65)*(B3-0.75)*100)+87.5,350,A3))),"0")</f>
        <v>87.5</v>
      </c>
      <c r="E3" s="11"/>
      <c r="F3" s="16">
        <v>0.75</v>
      </c>
      <c r="G3" s="49">
        <f>IFERROR(IF(IF(F3&lt;0.75,0,MIN(((165/65)*(F3-0.75)*100)+55,220,E3))&gt;220,220,IF(F3&lt;0.75,0,MIN(((165/65)*(F3-0.75)*100)+55,220,E3))),"0")</f>
        <v>55</v>
      </c>
      <c r="I3" s="11"/>
      <c r="J3" s="16">
        <v>0.75</v>
      </c>
      <c r="K3" s="49">
        <f>IFERROR(IF(IF(J3&lt;0.75,0,MIN(((60/65)*(J3-0.75)*100)+20,80,I3))&gt;80,80,IF(J3&lt;0.75,0,MIN(((60/65)*(J3-0.75)*100)+20,80,I3))),"0")</f>
        <v>20</v>
      </c>
    </row>
    <row r="4" spans="1:11" x14ac:dyDescent="0.35">
      <c r="A4" s="11"/>
      <c r="B4" s="16">
        <v>0.76</v>
      </c>
      <c r="C4" s="49">
        <f t="shared" ref="C4:C67" si="0">IFERROR(IF(IF(B4&lt;0.75,0,MIN(((262.5/65)*(B4-0.75)*100)+87.5,350,A4))&gt;350,350,IF(B4&lt;0.75,0,MIN(((262.5/65)*(B4-0.75)*100)+87.5,350,A4))),"0")</f>
        <v>91.538461538461547</v>
      </c>
      <c r="D4" s="57"/>
      <c r="E4" s="11"/>
      <c r="F4" s="16">
        <v>0.76</v>
      </c>
      <c r="G4" s="49">
        <f t="shared" ref="G4:G67" si="1">IFERROR(IF(IF(F4&lt;0.75,0,MIN(((165/65)*(F4-0.75)*100)+55,220,E4))&gt;220,220,IF(F4&lt;0.75,0,MIN(((165/65)*(F4-0.75)*100)+55,220,E4))),"0")</f>
        <v>57.53846153846154</v>
      </c>
      <c r="I4" s="11"/>
      <c r="J4" s="16">
        <v>0.76</v>
      </c>
      <c r="K4" s="49">
        <f t="shared" ref="K4:K67" si="2">IFERROR(IF(IF(J4&lt;0.75,0,MIN(((60/65)*(J4-0.75)*100)+20,80,I4))&gt;80,80,IF(J4&lt;0.75,0,MIN(((60/65)*(J4-0.75)*100)+20,80,I4))),"0")</f>
        <v>20.923076923076923</v>
      </c>
    </row>
    <row r="5" spans="1:11" x14ac:dyDescent="0.35">
      <c r="A5" s="11"/>
      <c r="B5" s="16">
        <v>0.77</v>
      </c>
      <c r="C5" s="49">
        <f t="shared" si="0"/>
        <v>95.57692307692308</v>
      </c>
      <c r="D5" s="57"/>
      <c r="E5" s="11"/>
      <c r="F5" s="16">
        <v>0.77</v>
      </c>
      <c r="G5" s="49">
        <f t="shared" si="1"/>
        <v>60.07692307692308</v>
      </c>
      <c r="I5" s="11"/>
      <c r="J5" s="16">
        <v>0.77</v>
      </c>
      <c r="K5" s="49">
        <f t="shared" si="2"/>
        <v>21.846153846153847</v>
      </c>
    </row>
    <row r="6" spans="1:11" x14ac:dyDescent="0.35">
      <c r="A6" s="11"/>
      <c r="B6" s="16">
        <v>0.78</v>
      </c>
      <c r="C6" s="49">
        <f t="shared" si="0"/>
        <v>99.615384615384627</v>
      </c>
      <c r="D6" s="57"/>
      <c r="E6" s="11"/>
      <c r="F6" s="16">
        <v>0.78</v>
      </c>
      <c r="G6" s="49">
        <f t="shared" si="1"/>
        <v>62.61538461538462</v>
      </c>
      <c r="I6" s="11"/>
      <c r="J6" s="16">
        <v>0.78</v>
      </c>
      <c r="K6" s="49">
        <f t="shared" si="2"/>
        <v>22.769230769230774</v>
      </c>
    </row>
    <row r="7" spans="1:11" x14ac:dyDescent="0.35">
      <c r="A7" s="11"/>
      <c r="B7" s="16">
        <v>0.79</v>
      </c>
      <c r="C7" s="49">
        <f t="shared" si="0"/>
        <v>103.65384615384616</v>
      </c>
      <c r="D7" s="57"/>
      <c r="E7" s="11"/>
      <c r="F7" s="16">
        <v>0.79</v>
      </c>
      <c r="G7" s="49">
        <f t="shared" si="1"/>
        <v>65.15384615384616</v>
      </c>
      <c r="I7" s="11"/>
      <c r="J7" s="16">
        <v>0.79</v>
      </c>
      <c r="K7" s="49">
        <f t="shared" si="2"/>
        <v>23.692307692307697</v>
      </c>
    </row>
    <row r="8" spans="1:11" x14ac:dyDescent="0.35">
      <c r="A8" s="11"/>
      <c r="B8" s="16">
        <v>0.8</v>
      </c>
      <c r="C8" s="49">
        <f t="shared" si="0"/>
        <v>107.69230769230771</v>
      </c>
      <c r="D8" s="57"/>
      <c r="E8" s="11"/>
      <c r="F8" s="16">
        <v>0.8</v>
      </c>
      <c r="G8" s="49">
        <f t="shared" si="1"/>
        <v>67.692307692307708</v>
      </c>
      <c r="I8" s="11"/>
      <c r="J8" s="16">
        <v>0.8</v>
      </c>
      <c r="K8" s="49">
        <f t="shared" si="2"/>
        <v>24.61538461538462</v>
      </c>
    </row>
    <row r="9" spans="1:11" x14ac:dyDescent="0.35">
      <c r="A9" s="11"/>
      <c r="B9" s="16">
        <v>0.81</v>
      </c>
      <c r="C9" s="49">
        <f t="shared" si="0"/>
        <v>111.73076923076925</v>
      </c>
      <c r="D9" s="57"/>
      <c r="E9" s="11"/>
      <c r="F9" s="16">
        <v>0.81</v>
      </c>
      <c r="G9" s="49">
        <f t="shared" si="1"/>
        <v>70.230769230769241</v>
      </c>
      <c r="I9" s="11"/>
      <c r="J9" s="16">
        <v>0.81</v>
      </c>
      <c r="K9" s="49">
        <f t="shared" si="2"/>
        <v>25.538461538461544</v>
      </c>
    </row>
    <row r="10" spans="1:11" x14ac:dyDescent="0.35">
      <c r="A10" s="11"/>
      <c r="B10" s="16">
        <v>0.82</v>
      </c>
      <c r="C10" s="49">
        <f t="shared" si="0"/>
        <v>115.76923076923075</v>
      </c>
      <c r="D10" s="57"/>
      <c r="E10" s="11"/>
      <c r="F10" s="16">
        <v>0.82</v>
      </c>
      <c r="G10" s="49">
        <f t="shared" si="1"/>
        <v>72.769230769230759</v>
      </c>
      <c r="I10" s="11"/>
      <c r="J10" s="16">
        <v>0.82</v>
      </c>
      <c r="K10" s="49">
        <f t="shared" si="2"/>
        <v>26.461538461538456</v>
      </c>
    </row>
    <row r="11" spans="1:11" x14ac:dyDescent="0.35">
      <c r="A11" s="11"/>
      <c r="B11" s="16">
        <v>0.83</v>
      </c>
      <c r="C11" s="49">
        <f t="shared" si="0"/>
        <v>119.80769230769229</v>
      </c>
      <c r="D11" s="57"/>
      <c r="E11" s="11"/>
      <c r="F11" s="16">
        <v>0.83</v>
      </c>
      <c r="G11" s="49">
        <f t="shared" si="1"/>
        <v>75.307692307692292</v>
      </c>
      <c r="I11" s="11"/>
      <c r="J11" s="16">
        <v>0.83</v>
      </c>
      <c r="K11" s="49">
        <f t="shared" si="2"/>
        <v>27.38461538461538</v>
      </c>
    </row>
    <row r="12" spans="1:11" x14ac:dyDescent="0.35">
      <c r="A12" s="11"/>
      <c r="B12" s="16">
        <v>0.84</v>
      </c>
      <c r="C12" s="49">
        <f t="shared" si="0"/>
        <v>123.84615384615384</v>
      </c>
      <c r="D12" s="57"/>
      <c r="E12" s="11"/>
      <c r="F12" s="16">
        <v>0.84</v>
      </c>
      <c r="G12" s="49">
        <f t="shared" si="1"/>
        <v>77.84615384615384</v>
      </c>
      <c r="I12" s="11"/>
      <c r="J12" s="16">
        <v>0.84</v>
      </c>
      <c r="K12" s="49">
        <f t="shared" si="2"/>
        <v>28.307692307692307</v>
      </c>
    </row>
    <row r="13" spans="1:11" x14ac:dyDescent="0.35">
      <c r="A13" s="11"/>
      <c r="B13" s="16">
        <v>0.85</v>
      </c>
      <c r="C13" s="49">
        <f t="shared" si="0"/>
        <v>127.88461538461537</v>
      </c>
      <c r="D13" s="57"/>
      <c r="E13" s="11"/>
      <c r="F13" s="16">
        <v>0.85</v>
      </c>
      <c r="G13" s="49">
        <f t="shared" si="1"/>
        <v>80.384615384615373</v>
      </c>
      <c r="I13" s="11"/>
      <c r="J13" s="16">
        <v>0.85</v>
      </c>
      <c r="K13" s="49">
        <f t="shared" si="2"/>
        <v>29.23076923076923</v>
      </c>
    </row>
    <row r="14" spans="1:11" x14ac:dyDescent="0.35">
      <c r="A14" s="11"/>
      <c r="B14" s="16">
        <v>0.86</v>
      </c>
      <c r="C14" s="49">
        <f t="shared" si="0"/>
        <v>131.92307692307691</v>
      </c>
      <c r="D14" s="57"/>
      <c r="E14" s="11"/>
      <c r="F14" s="16">
        <v>0.86</v>
      </c>
      <c r="G14" s="49">
        <f t="shared" si="1"/>
        <v>82.92307692307692</v>
      </c>
      <c r="I14" s="11"/>
      <c r="J14" s="16">
        <v>0.86</v>
      </c>
      <c r="K14" s="49">
        <f t="shared" si="2"/>
        <v>30.153846153846153</v>
      </c>
    </row>
    <row r="15" spans="1:11" x14ac:dyDescent="0.35">
      <c r="A15" s="11"/>
      <c r="B15" s="16">
        <v>0.87</v>
      </c>
      <c r="C15" s="49">
        <f t="shared" si="0"/>
        <v>135.96153846153845</v>
      </c>
      <c r="D15" s="57"/>
      <c r="E15" s="11"/>
      <c r="F15" s="16">
        <v>0.87</v>
      </c>
      <c r="G15" s="49">
        <f t="shared" si="1"/>
        <v>85.461538461538453</v>
      </c>
      <c r="I15" s="11"/>
      <c r="J15" s="16">
        <v>0.87</v>
      </c>
      <c r="K15" s="49">
        <f t="shared" si="2"/>
        <v>31.076923076923077</v>
      </c>
    </row>
    <row r="16" spans="1:11" x14ac:dyDescent="0.35">
      <c r="A16" s="11"/>
      <c r="B16" s="16">
        <v>0.88</v>
      </c>
      <c r="C16" s="49">
        <f t="shared" si="0"/>
        <v>140</v>
      </c>
      <c r="D16" s="57"/>
      <c r="E16" s="11"/>
      <c r="F16" s="16">
        <v>0.88</v>
      </c>
      <c r="G16" s="49">
        <f t="shared" si="1"/>
        <v>88</v>
      </c>
      <c r="I16" s="11"/>
      <c r="J16" s="16">
        <v>0.88</v>
      </c>
      <c r="K16" s="49">
        <f t="shared" si="2"/>
        <v>32</v>
      </c>
    </row>
    <row r="17" spans="1:11" x14ac:dyDescent="0.35">
      <c r="A17" s="11"/>
      <c r="B17" s="16">
        <v>0.89</v>
      </c>
      <c r="C17" s="49">
        <f t="shared" si="0"/>
        <v>144.03846153846155</v>
      </c>
      <c r="D17" s="57"/>
      <c r="E17" s="11"/>
      <c r="F17" s="16">
        <v>0.89</v>
      </c>
      <c r="G17" s="49">
        <f t="shared" si="1"/>
        <v>90.538461538461547</v>
      </c>
      <c r="I17" s="11"/>
      <c r="J17" s="16">
        <v>0.89</v>
      </c>
      <c r="K17" s="49">
        <f t="shared" si="2"/>
        <v>32.923076923076927</v>
      </c>
    </row>
    <row r="18" spans="1:11" x14ac:dyDescent="0.35">
      <c r="A18" s="11"/>
      <c r="B18" s="16">
        <v>0.9</v>
      </c>
      <c r="C18" s="49">
        <f t="shared" si="0"/>
        <v>148.07692307692309</v>
      </c>
      <c r="D18" s="57"/>
      <c r="E18" s="11"/>
      <c r="F18" s="16">
        <v>0.9</v>
      </c>
      <c r="G18" s="49">
        <f t="shared" si="1"/>
        <v>93.07692307692308</v>
      </c>
      <c r="I18" s="11"/>
      <c r="J18" s="16">
        <v>0.9</v>
      </c>
      <c r="K18" s="49">
        <f t="shared" si="2"/>
        <v>33.846153846153854</v>
      </c>
    </row>
    <row r="19" spans="1:11" x14ac:dyDescent="0.35">
      <c r="A19" s="11"/>
      <c r="B19" s="16">
        <v>0.91</v>
      </c>
      <c r="C19" s="49">
        <f t="shared" si="0"/>
        <v>152.11538461538464</v>
      </c>
      <c r="D19" s="57"/>
      <c r="E19" s="11"/>
      <c r="F19" s="16">
        <v>0.91</v>
      </c>
      <c r="G19" s="49">
        <f t="shared" si="1"/>
        <v>95.615384615384613</v>
      </c>
      <c r="I19" s="11"/>
      <c r="J19" s="16">
        <v>0.91</v>
      </c>
      <c r="K19" s="49">
        <f t="shared" si="2"/>
        <v>34.769230769230774</v>
      </c>
    </row>
    <row r="20" spans="1:11" x14ac:dyDescent="0.35">
      <c r="A20" s="11"/>
      <c r="B20" s="16">
        <v>0.92</v>
      </c>
      <c r="C20" s="49">
        <f t="shared" si="0"/>
        <v>156.15384615384616</v>
      </c>
      <c r="D20" s="57"/>
      <c r="E20" s="11"/>
      <c r="F20" s="16">
        <v>0.92</v>
      </c>
      <c r="G20" s="49">
        <f t="shared" si="1"/>
        <v>98.15384615384616</v>
      </c>
      <c r="I20" s="11"/>
      <c r="J20" s="16">
        <v>0.92</v>
      </c>
      <c r="K20" s="49">
        <f t="shared" si="2"/>
        <v>35.692307692307693</v>
      </c>
    </row>
    <row r="21" spans="1:11" x14ac:dyDescent="0.35">
      <c r="A21" s="11"/>
      <c r="B21" s="16">
        <v>0.93</v>
      </c>
      <c r="C21" s="49">
        <f t="shared" si="0"/>
        <v>160.19230769230771</v>
      </c>
      <c r="D21" s="57"/>
      <c r="E21" s="11"/>
      <c r="F21" s="16">
        <v>0.93</v>
      </c>
      <c r="G21" s="49">
        <f t="shared" si="1"/>
        <v>100.69230769230771</v>
      </c>
      <c r="I21" s="11"/>
      <c r="J21" s="16">
        <v>0.93</v>
      </c>
      <c r="K21" s="49">
        <f t="shared" si="2"/>
        <v>36.61538461538462</v>
      </c>
    </row>
    <row r="22" spans="1:11" x14ac:dyDescent="0.35">
      <c r="A22" s="11"/>
      <c r="B22" s="16">
        <v>0.94</v>
      </c>
      <c r="C22" s="49">
        <f t="shared" si="0"/>
        <v>164.2307692307692</v>
      </c>
      <c r="D22" s="57"/>
      <c r="E22" s="11"/>
      <c r="F22" s="16">
        <v>0.94</v>
      </c>
      <c r="G22" s="49">
        <f t="shared" si="1"/>
        <v>103.23076923076923</v>
      </c>
      <c r="I22" s="11"/>
      <c r="J22" s="16">
        <v>0.94</v>
      </c>
      <c r="K22" s="49">
        <f t="shared" si="2"/>
        <v>37.538461538461533</v>
      </c>
    </row>
    <row r="23" spans="1:11" x14ac:dyDescent="0.35">
      <c r="A23" s="11"/>
      <c r="B23" s="16">
        <v>0.95</v>
      </c>
      <c r="C23" s="49">
        <f t="shared" si="0"/>
        <v>168.26923076923075</v>
      </c>
      <c r="D23" s="57"/>
      <c r="E23" s="11"/>
      <c r="F23" s="16">
        <v>0.95</v>
      </c>
      <c r="G23" s="49">
        <f t="shared" si="1"/>
        <v>105.76923076923075</v>
      </c>
      <c r="I23" s="11"/>
      <c r="J23" s="16">
        <v>0.95</v>
      </c>
      <c r="K23" s="49">
        <f t="shared" si="2"/>
        <v>38.46153846153846</v>
      </c>
    </row>
    <row r="24" spans="1:11" x14ac:dyDescent="0.35">
      <c r="A24" s="11"/>
      <c r="B24" s="16">
        <v>0.96</v>
      </c>
      <c r="C24" s="49">
        <f t="shared" si="0"/>
        <v>172.30769230769229</v>
      </c>
      <c r="D24" s="57"/>
      <c r="E24" s="11"/>
      <c r="F24" s="16">
        <v>0.96</v>
      </c>
      <c r="G24" s="49">
        <f t="shared" si="1"/>
        <v>108.30769230769229</v>
      </c>
      <c r="I24" s="11"/>
      <c r="J24" s="16">
        <v>0.96</v>
      </c>
      <c r="K24" s="49">
        <f t="shared" si="2"/>
        <v>39.384615384615387</v>
      </c>
    </row>
    <row r="25" spans="1:11" x14ac:dyDescent="0.35">
      <c r="A25" s="11"/>
      <c r="B25" s="16">
        <v>0.97</v>
      </c>
      <c r="C25" s="49">
        <f t="shared" si="0"/>
        <v>176.34615384615381</v>
      </c>
      <c r="D25" s="57"/>
      <c r="E25" s="11"/>
      <c r="F25" s="16">
        <v>0.97</v>
      </c>
      <c r="G25" s="49">
        <f t="shared" si="1"/>
        <v>110.84615384615384</v>
      </c>
      <c r="I25" s="11"/>
      <c r="J25" s="16">
        <v>0.97</v>
      </c>
      <c r="K25" s="49">
        <f t="shared" si="2"/>
        <v>40.307692307692307</v>
      </c>
    </row>
    <row r="26" spans="1:11" x14ac:dyDescent="0.35">
      <c r="A26" s="11"/>
      <c r="B26" s="16">
        <v>0.98</v>
      </c>
      <c r="C26" s="49">
        <f t="shared" si="0"/>
        <v>180.38461538461536</v>
      </c>
      <c r="D26" s="57"/>
      <c r="E26" s="11"/>
      <c r="F26" s="16">
        <v>0.98</v>
      </c>
      <c r="G26" s="49">
        <f t="shared" si="1"/>
        <v>113.38461538461539</v>
      </c>
      <c r="I26" s="11"/>
      <c r="J26" s="16">
        <v>0.98</v>
      </c>
      <c r="K26" s="49">
        <f t="shared" si="2"/>
        <v>41.230769230769226</v>
      </c>
    </row>
    <row r="27" spans="1:11" x14ac:dyDescent="0.35">
      <c r="A27" s="11"/>
      <c r="B27" s="16">
        <v>0.99</v>
      </c>
      <c r="C27" s="49">
        <f t="shared" si="0"/>
        <v>184.42307692307691</v>
      </c>
      <c r="D27" s="57"/>
      <c r="E27" s="11"/>
      <c r="F27" s="16">
        <v>0.99</v>
      </c>
      <c r="G27" s="49">
        <f t="shared" si="1"/>
        <v>115.92307692307691</v>
      </c>
      <c r="I27" s="11"/>
      <c r="J27" s="16">
        <v>0.99</v>
      </c>
      <c r="K27" s="49">
        <f t="shared" si="2"/>
        <v>42.153846153846153</v>
      </c>
    </row>
    <row r="28" spans="1:11" x14ac:dyDescent="0.35">
      <c r="A28" s="11"/>
      <c r="B28" s="16">
        <v>1</v>
      </c>
      <c r="C28" s="49">
        <f t="shared" si="0"/>
        <v>188.46153846153845</v>
      </c>
      <c r="D28" s="57"/>
      <c r="E28" s="11"/>
      <c r="F28" s="16">
        <v>1</v>
      </c>
      <c r="G28" s="49">
        <f t="shared" si="1"/>
        <v>118.46153846153845</v>
      </c>
      <c r="I28" s="11"/>
      <c r="J28" s="16">
        <v>1</v>
      </c>
      <c r="K28" s="49">
        <f t="shared" si="2"/>
        <v>43.07692307692308</v>
      </c>
    </row>
    <row r="29" spans="1:11" x14ac:dyDescent="0.35">
      <c r="A29" s="11"/>
      <c r="B29" s="16">
        <v>1.01</v>
      </c>
      <c r="C29" s="49">
        <f t="shared" si="0"/>
        <v>192.5</v>
      </c>
      <c r="D29" s="57"/>
      <c r="E29" s="11"/>
      <c r="F29" s="16">
        <v>1.01</v>
      </c>
      <c r="G29" s="49">
        <f t="shared" si="1"/>
        <v>121</v>
      </c>
      <c r="I29" s="11"/>
      <c r="J29" s="16">
        <v>1.01</v>
      </c>
      <c r="K29" s="49">
        <f t="shared" si="2"/>
        <v>44</v>
      </c>
    </row>
    <row r="30" spans="1:11" x14ac:dyDescent="0.35">
      <c r="A30" s="11"/>
      <c r="B30" s="16">
        <v>1.02</v>
      </c>
      <c r="C30" s="49">
        <f t="shared" si="0"/>
        <v>196.53846153846155</v>
      </c>
      <c r="D30" s="57"/>
      <c r="E30" s="11"/>
      <c r="F30" s="16">
        <v>1.02</v>
      </c>
      <c r="G30" s="49">
        <f t="shared" si="1"/>
        <v>123.53846153846153</v>
      </c>
      <c r="I30" s="11"/>
      <c r="J30" s="16">
        <v>1.02</v>
      </c>
      <c r="K30" s="49">
        <f t="shared" si="2"/>
        <v>44.923076923076927</v>
      </c>
    </row>
    <row r="31" spans="1:11" x14ac:dyDescent="0.35">
      <c r="A31" s="11"/>
      <c r="B31" s="16">
        <v>1.03</v>
      </c>
      <c r="C31" s="49">
        <f t="shared" si="0"/>
        <v>200.57692307692309</v>
      </c>
      <c r="D31" s="57"/>
      <c r="E31" s="11"/>
      <c r="F31" s="16">
        <v>1.03</v>
      </c>
      <c r="G31" s="49">
        <f t="shared" si="1"/>
        <v>126.07692307692308</v>
      </c>
      <c r="I31" s="11"/>
      <c r="J31" s="16">
        <v>1.03</v>
      </c>
      <c r="K31" s="49">
        <f t="shared" si="2"/>
        <v>45.846153846153854</v>
      </c>
    </row>
    <row r="32" spans="1:11" x14ac:dyDescent="0.35">
      <c r="A32" s="11"/>
      <c r="B32" s="16">
        <v>1.04</v>
      </c>
      <c r="C32" s="49">
        <f t="shared" si="0"/>
        <v>204.61538461538464</v>
      </c>
      <c r="D32" s="57"/>
      <c r="E32" s="11"/>
      <c r="F32" s="16">
        <v>1.04</v>
      </c>
      <c r="G32" s="49">
        <f t="shared" si="1"/>
        <v>128.61538461538461</v>
      </c>
      <c r="I32" s="11"/>
      <c r="J32" s="16">
        <v>1.04</v>
      </c>
      <c r="K32" s="49">
        <f t="shared" si="2"/>
        <v>46.769230769230774</v>
      </c>
    </row>
    <row r="33" spans="1:11" x14ac:dyDescent="0.35">
      <c r="A33" s="11"/>
      <c r="B33" s="16">
        <v>1.05</v>
      </c>
      <c r="C33" s="49">
        <f t="shared" si="0"/>
        <v>208.65384615384616</v>
      </c>
      <c r="D33" s="57"/>
      <c r="E33" s="11"/>
      <c r="F33" s="16">
        <v>1.05</v>
      </c>
      <c r="G33" s="49">
        <f t="shared" si="1"/>
        <v>131.15384615384616</v>
      </c>
      <c r="I33" s="11"/>
      <c r="J33" s="16">
        <v>1.05</v>
      </c>
      <c r="K33" s="49">
        <f t="shared" si="2"/>
        <v>47.692307692307701</v>
      </c>
    </row>
    <row r="34" spans="1:11" x14ac:dyDescent="0.35">
      <c r="A34" s="11"/>
      <c r="B34" s="16">
        <v>1.06</v>
      </c>
      <c r="C34" s="49">
        <f t="shared" si="0"/>
        <v>212.69230769230771</v>
      </c>
      <c r="D34" s="57"/>
      <c r="E34" s="11"/>
      <c r="F34" s="16">
        <v>1.06</v>
      </c>
      <c r="G34" s="49">
        <f t="shared" si="1"/>
        <v>133.69230769230771</v>
      </c>
      <c r="I34" s="11"/>
      <c r="J34" s="16">
        <v>1.06</v>
      </c>
      <c r="K34" s="49">
        <f t="shared" si="2"/>
        <v>48.61538461538462</v>
      </c>
    </row>
    <row r="35" spans="1:11" x14ac:dyDescent="0.35">
      <c r="A35" s="11"/>
      <c r="B35" s="16">
        <v>1.07</v>
      </c>
      <c r="C35" s="49">
        <f t="shared" si="0"/>
        <v>216.73076923076925</v>
      </c>
      <c r="D35" s="57"/>
      <c r="E35" s="11"/>
      <c r="F35" s="16">
        <v>1.07</v>
      </c>
      <c r="G35" s="49">
        <f t="shared" si="1"/>
        <v>136.23076923076923</v>
      </c>
      <c r="I35" s="11"/>
      <c r="J35" s="16">
        <v>1.07</v>
      </c>
      <c r="K35" s="49">
        <f t="shared" si="2"/>
        <v>49.538461538461547</v>
      </c>
    </row>
    <row r="36" spans="1:11" x14ac:dyDescent="0.35">
      <c r="A36" s="11"/>
      <c r="B36" s="16">
        <v>1.08</v>
      </c>
      <c r="C36" s="49">
        <f t="shared" si="0"/>
        <v>220.76923076923077</v>
      </c>
      <c r="D36" s="57"/>
      <c r="E36" s="11"/>
      <c r="F36" s="16">
        <v>1.08</v>
      </c>
      <c r="G36" s="49">
        <f t="shared" si="1"/>
        <v>138.76923076923077</v>
      </c>
      <c r="I36" s="11"/>
      <c r="J36" s="16">
        <v>1.08</v>
      </c>
      <c r="K36" s="49">
        <f t="shared" si="2"/>
        <v>50.461538461538467</v>
      </c>
    </row>
    <row r="37" spans="1:11" x14ac:dyDescent="0.35">
      <c r="A37" s="11"/>
      <c r="B37" s="16">
        <v>1.0900000000000001</v>
      </c>
      <c r="C37" s="49">
        <f t="shared" si="0"/>
        <v>224.80769230769232</v>
      </c>
      <c r="D37" s="57"/>
      <c r="E37" s="11"/>
      <c r="F37" s="16">
        <v>1.0900000000000001</v>
      </c>
      <c r="G37" s="49">
        <f t="shared" si="1"/>
        <v>141.30769230769232</v>
      </c>
      <c r="I37" s="11"/>
      <c r="J37" s="16">
        <v>1.0900000000000001</v>
      </c>
      <c r="K37" s="49">
        <f t="shared" si="2"/>
        <v>51.384615384615394</v>
      </c>
    </row>
    <row r="38" spans="1:11" x14ac:dyDescent="0.35">
      <c r="A38" s="11"/>
      <c r="B38" s="16">
        <v>1.1000000000000001</v>
      </c>
      <c r="C38" s="49">
        <f t="shared" si="0"/>
        <v>228.84615384615387</v>
      </c>
      <c r="D38" s="57"/>
      <c r="E38" s="11"/>
      <c r="F38" s="16">
        <v>1.1000000000000001</v>
      </c>
      <c r="G38" s="49">
        <f t="shared" si="1"/>
        <v>143.84615384615387</v>
      </c>
      <c r="I38" s="11"/>
      <c r="J38" s="16">
        <v>1.1000000000000001</v>
      </c>
      <c r="K38" s="49">
        <f t="shared" si="2"/>
        <v>52.307692307692314</v>
      </c>
    </row>
    <row r="39" spans="1:11" x14ac:dyDescent="0.35">
      <c r="A39" s="11"/>
      <c r="B39" s="16">
        <v>1.1100000000000001</v>
      </c>
      <c r="C39" s="49">
        <f t="shared" si="0"/>
        <v>232.88461538461542</v>
      </c>
      <c r="D39" s="57"/>
      <c r="E39" s="11"/>
      <c r="F39" s="16">
        <v>1.1100000000000001</v>
      </c>
      <c r="G39" s="49">
        <f t="shared" si="1"/>
        <v>146.38461538461542</v>
      </c>
      <c r="I39" s="11"/>
      <c r="J39" s="16">
        <v>1.1100000000000001</v>
      </c>
      <c r="K39" s="49">
        <f t="shared" si="2"/>
        <v>53.230769230769241</v>
      </c>
    </row>
    <row r="40" spans="1:11" x14ac:dyDescent="0.35">
      <c r="A40" s="11"/>
      <c r="B40" s="16">
        <v>1.1200000000000001</v>
      </c>
      <c r="C40" s="49">
        <f t="shared" si="0"/>
        <v>236.92307692307696</v>
      </c>
      <c r="D40" s="57"/>
      <c r="E40" s="11"/>
      <c r="F40" s="16">
        <v>1.1200000000000001</v>
      </c>
      <c r="G40" s="49">
        <f t="shared" si="1"/>
        <v>148.92307692307696</v>
      </c>
      <c r="I40" s="11"/>
      <c r="J40" s="16">
        <v>1.1200000000000001</v>
      </c>
      <c r="K40" s="49">
        <f t="shared" si="2"/>
        <v>54.153846153846168</v>
      </c>
    </row>
    <row r="41" spans="1:11" x14ac:dyDescent="0.35">
      <c r="A41" s="11"/>
      <c r="B41" s="16">
        <v>1.1299999999999999</v>
      </c>
      <c r="C41" s="49">
        <f t="shared" si="0"/>
        <v>240.9615384615384</v>
      </c>
      <c r="D41" s="57"/>
      <c r="E41" s="11"/>
      <c r="F41" s="16">
        <v>1.1299999999999999</v>
      </c>
      <c r="G41" s="49">
        <f t="shared" si="1"/>
        <v>151.46153846153845</v>
      </c>
      <c r="I41" s="11"/>
      <c r="J41" s="16">
        <v>1.1299999999999999</v>
      </c>
      <c r="K41" s="49">
        <f t="shared" si="2"/>
        <v>55.076923076923066</v>
      </c>
    </row>
    <row r="42" spans="1:11" x14ac:dyDescent="0.35">
      <c r="A42" s="11"/>
      <c r="B42" s="16">
        <v>1.1399999999999999</v>
      </c>
      <c r="C42" s="49">
        <f t="shared" si="0"/>
        <v>244.99999999999994</v>
      </c>
      <c r="D42" s="57"/>
      <c r="E42" s="11"/>
      <c r="F42" s="16">
        <v>1.1399999999999999</v>
      </c>
      <c r="G42" s="49">
        <f t="shared" si="1"/>
        <v>153.99999999999997</v>
      </c>
      <c r="I42" s="11"/>
      <c r="J42" s="16">
        <v>1.1399999999999999</v>
      </c>
      <c r="K42" s="49">
        <f t="shared" si="2"/>
        <v>55.999999999999993</v>
      </c>
    </row>
    <row r="43" spans="1:11" x14ac:dyDescent="0.35">
      <c r="A43" s="11"/>
      <c r="B43" s="16">
        <v>1.1499999999999999</v>
      </c>
      <c r="C43" s="49">
        <f t="shared" si="0"/>
        <v>249.03846153846149</v>
      </c>
      <c r="D43" s="57"/>
      <c r="E43" s="11"/>
      <c r="F43" s="16">
        <v>1.1499999999999999</v>
      </c>
      <c r="G43" s="49">
        <f t="shared" si="1"/>
        <v>156.53846153846149</v>
      </c>
      <c r="I43" s="11"/>
      <c r="J43" s="16">
        <v>1.1499999999999999</v>
      </c>
      <c r="K43" s="49">
        <f t="shared" si="2"/>
        <v>56.92307692307692</v>
      </c>
    </row>
    <row r="44" spans="1:11" x14ac:dyDescent="0.35">
      <c r="A44" s="11"/>
      <c r="B44" s="16">
        <v>1.1599999999999999</v>
      </c>
      <c r="C44" s="49">
        <f t="shared" si="0"/>
        <v>253.07692307692304</v>
      </c>
      <c r="D44" s="57"/>
      <c r="E44" s="11"/>
      <c r="F44" s="16">
        <v>1.1599999999999999</v>
      </c>
      <c r="G44" s="49">
        <f t="shared" si="1"/>
        <v>159.07692307692304</v>
      </c>
      <c r="I44" s="11"/>
      <c r="J44" s="16">
        <v>1.1599999999999999</v>
      </c>
      <c r="K44" s="49">
        <f t="shared" si="2"/>
        <v>57.84615384615384</v>
      </c>
    </row>
    <row r="45" spans="1:11" x14ac:dyDescent="0.35">
      <c r="A45" s="11"/>
      <c r="B45" s="16">
        <v>1.17</v>
      </c>
      <c r="C45" s="49">
        <f t="shared" si="0"/>
        <v>257.11538461538458</v>
      </c>
      <c r="D45" s="57"/>
      <c r="E45" s="11"/>
      <c r="F45" s="16">
        <v>1.17</v>
      </c>
      <c r="G45" s="49">
        <f t="shared" si="1"/>
        <v>161.61538461538458</v>
      </c>
      <c r="I45" s="11"/>
      <c r="J45" s="16">
        <v>1.17</v>
      </c>
      <c r="K45" s="49">
        <f t="shared" si="2"/>
        <v>58.769230769230766</v>
      </c>
    </row>
    <row r="46" spans="1:11" x14ac:dyDescent="0.35">
      <c r="A46" s="11"/>
      <c r="B46" s="16">
        <v>1.18</v>
      </c>
      <c r="C46" s="49">
        <f t="shared" si="0"/>
        <v>261.15384615384608</v>
      </c>
      <c r="D46" s="57"/>
      <c r="E46" s="11"/>
      <c r="F46" s="16">
        <v>1.18</v>
      </c>
      <c r="G46" s="49">
        <f t="shared" si="1"/>
        <v>164.15384615384613</v>
      </c>
      <c r="I46" s="11"/>
      <c r="J46" s="16">
        <v>1.18</v>
      </c>
      <c r="K46" s="49">
        <f t="shared" si="2"/>
        <v>59.692307692307686</v>
      </c>
    </row>
    <row r="47" spans="1:11" x14ac:dyDescent="0.35">
      <c r="A47" s="11"/>
      <c r="B47" s="16">
        <v>1.19</v>
      </c>
      <c r="C47" s="49">
        <f t="shared" si="0"/>
        <v>265.19230769230762</v>
      </c>
      <c r="D47" s="57"/>
      <c r="E47" s="11"/>
      <c r="F47" s="16">
        <v>1.19</v>
      </c>
      <c r="G47" s="49">
        <f t="shared" si="1"/>
        <v>166.69230769230768</v>
      </c>
      <c r="I47" s="11"/>
      <c r="J47" s="16">
        <v>1.19</v>
      </c>
      <c r="K47" s="49">
        <f t="shared" si="2"/>
        <v>60.615384615384613</v>
      </c>
    </row>
    <row r="48" spans="1:11" x14ac:dyDescent="0.35">
      <c r="A48" s="11"/>
      <c r="B48" s="16">
        <v>1.2</v>
      </c>
      <c r="C48" s="49">
        <f t="shared" si="0"/>
        <v>269.23076923076917</v>
      </c>
      <c r="D48" s="57"/>
      <c r="E48" s="11"/>
      <c r="F48" s="16">
        <v>1.2</v>
      </c>
      <c r="G48" s="49">
        <f t="shared" si="1"/>
        <v>169.2307692307692</v>
      </c>
      <c r="I48" s="11"/>
      <c r="J48" s="16">
        <v>1.2</v>
      </c>
      <c r="K48" s="49">
        <f t="shared" si="2"/>
        <v>61.538461538461533</v>
      </c>
    </row>
    <row r="49" spans="1:11" x14ac:dyDescent="0.35">
      <c r="A49" s="11"/>
      <c r="B49" s="16">
        <v>1.21</v>
      </c>
      <c r="C49" s="49">
        <f t="shared" si="0"/>
        <v>273.26923076923072</v>
      </c>
      <c r="D49" s="57"/>
      <c r="E49" s="11"/>
      <c r="F49" s="16">
        <v>1.21</v>
      </c>
      <c r="G49" s="49">
        <f t="shared" si="1"/>
        <v>171.76923076923077</v>
      </c>
      <c r="I49" s="11"/>
      <c r="J49" s="16">
        <v>1.21</v>
      </c>
      <c r="K49" s="49">
        <f t="shared" si="2"/>
        <v>62.46153846153846</v>
      </c>
    </row>
    <row r="50" spans="1:11" x14ac:dyDescent="0.35">
      <c r="A50" s="11"/>
      <c r="B50" s="16">
        <v>1.22</v>
      </c>
      <c r="C50" s="49">
        <f t="shared" si="0"/>
        <v>277.30769230769226</v>
      </c>
      <c r="D50" s="57"/>
      <c r="E50" s="11"/>
      <c r="F50" s="16">
        <v>1.22</v>
      </c>
      <c r="G50" s="49">
        <f t="shared" si="1"/>
        <v>174.30769230769229</v>
      </c>
      <c r="I50" s="11"/>
      <c r="J50" s="16">
        <v>1.22</v>
      </c>
      <c r="K50" s="49">
        <f t="shared" si="2"/>
        <v>63.38461538461538</v>
      </c>
    </row>
    <row r="51" spans="1:11" x14ac:dyDescent="0.35">
      <c r="A51" s="11"/>
      <c r="B51" s="16">
        <v>1.23</v>
      </c>
      <c r="C51" s="49">
        <f t="shared" si="0"/>
        <v>281.34615384615381</v>
      </c>
      <c r="D51" s="57"/>
      <c r="E51" s="11"/>
      <c r="F51" s="16">
        <v>1.23</v>
      </c>
      <c r="G51" s="49">
        <f t="shared" si="1"/>
        <v>176.84615384615381</v>
      </c>
      <c r="I51" s="11"/>
      <c r="J51" s="16">
        <v>1.23</v>
      </c>
      <c r="K51" s="49">
        <f t="shared" si="2"/>
        <v>64.307692307692307</v>
      </c>
    </row>
    <row r="52" spans="1:11" x14ac:dyDescent="0.35">
      <c r="A52" s="11"/>
      <c r="B52" s="16">
        <v>1.24</v>
      </c>
      <c r="C52" s="49">
        <f t="shared" si="0"/>
        <v>285.38461538461536</v>
      </c>
      <c r="D52" s="57"/>
      <c r="E52" s="11"/>
      <c r="F52" s="16">
        <v>1.24</v>
      </c>
      <c r="G52" s="49">
        <f t="shared" si="1"/>
        <v>179.38461538461539</v>
      </c>
      <c r="I52" s="11"/>
      <c r="J52" s="16">
        <v>1.24</v>
      </c>
      <c r="K52" s="49">
        <f t="shared" si="2"/>
        <v>65.230769230769226</v>
      </c>
    </row>
    <row r="53" spans="1:11" x14ac:dyDescent="0.35">
      <c r="A53" s="11"/>
      <c r="B53" s="16">
        <v>1.25</v>
      </c>
      <c r="C53" s="49">
        <f t="shared" si="0"/>
        <v>289.42307692307691</v>
      </c>
      <c r="D53" s="57"/>
      <c r="E53" s="11"/>
      <c r="F53" s="16">
        <v>1.25</v>
      </c>
      <c r="G53" s="49">
        <f t="shared" si="1"/>
        <v>181.92307692307691</v>
      </c>
      <c r="I53" s="11"/>
      <c r="J53" s="16">
        <v>1.25</v>
      </c>
      <c r="K53" s="49">
        <f t="shared" si="2"/>
        <v>66.15384615384616</v>
      </c>
    </row>
    <row r="54" spans="1:11" x14ac:dyDescent="0.35">
      <c r="A54" s="11"/>
      <c r="B54" s="16">
        <v>1.26</v>
      </c>
      <c r="C54" s="49">
        <f t="shared" si="0"/>
        <v>293.46153846153845</v>
      </c>
      <c r="D54" s="57"/>
      <c r="E54" s="11"/>
      <c r="F54" s="16">
        <v>1.26</v>
      </c>
      <c r="G54" s="49">
        <f t="shared" si="1"/>
        <v>184.46153846153845</v>
      </c>
      <c r="I54" s="11"/>
      <c r="J54" s="16">
        <v>1.26</v>
      </c>
      <c r="K54" s="49">
        <f t="shared" si="2"/>
        <v>67.07692307692308</v>
      </c>
    </row>
    <row r="55" spans="1:11" x14ac:dyDescent="0.35">
      <c r="A55" s="11"/>
      <c r="B55" s="16">
        <v>1.27</v>
      </c>
      <c r="C55" s="49">
        <f t="shared" si="0"/>
        <v>297.5</v>
      </c>
      <c r="D55" s="57"/>
      <c r="E55" s="11"/>
      <c r="F55" s="16">
        <v>1.27</v>
      </c>
      <c r="G55" s="49">
        <f t="shared" si="1"/>
        <v>187</v>
      </c>
      <c r="I55" s="11"/>
      <c r="J55" s="16">
        <v>1.27</v>
      </c>
      <c r="K55" s="49">
        <f t="shared" si="2"/>
        <v>68</v>
      </c>
    </row>
    <row r="56" spans="1:11" x14ac:dyDescent="0.35">
      <c r="A56" s="11"/>
      <c r="B56" s="16">
        <v>1.28</v>
      </c>
      <c r="C56" s="49">
        <f t="shared" si="0"/>
        <v>301.53846153846155</v>
      </c>
      <c r="D56" s="57"/>
      <c r="E56" s="11"/>
      <c r="F56" s="16">
        <v>1.28</v>
      </c>
      <c r="G56" s="49">
        <f t="shared" si="1"/>
        <v>189.53846153846155</v>
      </c>
      <c r="I56" s="11"/>
      <c r="J56" s="16">
        <v>1.28</v>
      </c>
      <c r="K56" s="49">
        <f t="shared" si="2"/>
        <v>68.923076923076934</v>
      </c>
    </row>
    <row r="57" spans="1:11" x14ac:dyDescent="0.35">
      <c r="A57" s="11"/>
      <c r="B57" s="16">
        <v>1.29</v>
      </c>
      <c r="C57" s="49">
        <f t="shared" si="0"/>
        <v>305.57692307692309</v>
      </c>
      <c r="D57" s="57"/>
      <c r="E57" s="11"/>
      <c r="F57" s="16">
        <v>1.29</v>
      </c>
      <c r="G57" s="49">
        <f t="shared" si="1"/>
        <v>192.07692307692307</v>
      </c>
      <c r="I57" s="11"/>
      <c r="J57" s="16">
        <v>1.29</v>
      </c>
      <c r="K57" s="49">
        <f t="shared" si="2"/>
        <v>69.846153846153854</v>
      </c>
    </row>
    <row r="58" spans="1:11" x14ac:dyDescent="0.35">
      <c r="A58" s="11"/>
      <c r="B58" s="16">
        <v>1.3</v>
      </c>
      <c r="C58" s="49">
        <f t="shared" si="0"/>
        <v>309.61538461538464</v>
      </c>
      <c r="D58" s="57"/>
      <c r="E58" s="11"/>
      <c r="F58" s="16">
        <v>1.3</v>
      </c>
      <c r="G58" s="49">
        <f t="shared" si="1"/>
        <v>194.61538461538464</v>
      </c>
      <c r="I58" s="11"/>
      <c r="J58" s="16">
        <v>1.3</v>
      </c>
      <c r="K58" s="49">
        <f t="shared" si="2"/>
        <v>70.769230769230774</v>
      </c>
    </row>
    <row r="59" spans="1:11" x14ac:dyDescent="0.35">
      <c r="A59" s="11"/>
      <c r="B59" s="16">
        <v>1.31</v>
      </c>
      <c r="C59" s="49">
        <f t="shared" si="0"/>
        <v>313.65384615384619</v>
      </c>
      <c r="D59" s="57"/>
      <c r="E59" s="11"/>
      <c r="F59" s="16">
        <v>1.31</v>
      </c>
      <c r="G59" s="49">
        <f t="shared" si="1"/>
        <v>197.15384615384616</v>
      </c>
      <c r="I59" s="11"/>
      <c r="J59" s="16">
        <v>1.31</v>
      </c>
      <c r="K59" s="49">
        <f t="shared" si="2"/>
        <v>71.692307692307708</v>
      </c>
    </row>
    <row r="60" spans="1:11" x14ac:dyDescent="0.35">
      <c r="A60" s="11"/>
      <c r="B60" s="16">
        <v>1.32</v>
      </c>
      <c r="C60" s="49">
        <f t="shared" si="0"/>
        <v>317.69230769230774</v>
      </c>
      <c r="D60" s="57"/>
      <c r="E60" s="11"/>
      <c r="F60" s="16">
        <v>1.32</v>
      </c>
      <c r="G60" s="49">
        <f t="shared" si="1"/>
        <v>199.69230769230771</v>
      </c>
      <c r="I60" s="11"/>
      <c r="J60" s="16">
        <v>1.32</v>
      </c>
      <c r="K60" s="49">
        <f t="shared" si="2"/>
        <v>72.615384615384613</v>
      </c>
    </row>
    <row r="61" spans="1:11" x14ac:dyDescent="0.35">
      <c r="A61" s="11"/>
      <c r="B61" s="16">
        <v>1.33</v>
      </c>
      <c r="C61" s="49">
        <f t="shared" si="0"/>
        <v>321.73076923076928</v>
      </c>
      <c r="D61" s="57"/>
      <c r="E61" s="11"/>
      <c r="F61" s="16">
        <v>1.33</v>
      </c>
      <c r="G61" s="49">
        <f t="shared" si="1"/>
        <v>202.23076923076923</v>
      </c>
      <c r="I61" s="11"/>
      <c r="J61" s="16">
        <v>1.33</v>
      </c>
      <c r="K61" s="49">
        <f t="shared" si="2"/>
        <v>73.538461538461547</v>
      </c>
    </row>
    <row r="62" spans="1:11" x14ac:dyDescent="0.35">
      <c r="A62" s="11"/>
      <c r="B62" s="16">
        <v>1.34</v>
      </c>
      <c r="C62" s="49">
        <f t="shared" si="0"/>
        <v>325.76923076923083</v>
      </c>
      <c r="D62" s="57"/>
      <c r="E62" s="11"/>
      <c r="F62" s="16">
        <v>1.34</v>
      </c>
      <c r="G62" s="49">
        <f t="shared" si="1"/>
        <v>204.76923076923077</v>
      </c>
      <c r="I62" s="11"/>
      <c r="J62" s="16">
        <v>1.34</v>
      </c>
      <c r="K62" s="49">
        <f t="shared" si="2"/>
        <v>74.461538461538481</v>
      </c>
    </row>
    <row r="63" spans="1:11" x14ac:dyDescent="0.35">
      <c r="A63" s="11"/>
      <c r="B63" s="16">
        <v>1.35</v>
      </c>
      <c r="C63" s="49">
        <f t="shared" si="0"/>
        <v>329.80769230769232</v>
      </c>
      <c r="D63" s="57"/>
      <c r="E63" s="11"/>
      <c r="F63" s="16">
        <v>1.35</v>
      </c>
      <c r="G63" s="49">
        <f t="shared" si="1"/>
        <v>207.30769230769232</v>
      </c>
      <c r="I63" s="11"/>
      <c r="J63" s="16">
        <v>1.35</v>
      </c>
      <c r="K63" s="49">
        <f t="shared" si="2"/>
        <v>75.384615384615401</v>
      </c>
    </row>
    <row r="64" spans="1:11" x14ac:dyDescent="0.35">
      <c r="A64" s="11"/>
      <c r="B64" s="16">
        <v>1.36</v>
      </c>
      <c r="C64" s="49">
        <f t="shared" si="0"/>
        <v>333.84615384615387</v>
      </c>
      <c r="D64" s="57"/>
      <c r="E64" s="11"/>
      <c r="F64" s="16">
        <v>1.36</v>
      </c>
      <c r="G64" s="49">
        <f t="shared" si="1"/>
        <v>209.84615384615387</v>
      </c>
      <c r="I64" s="11"/>
      <c r="J64" s="16">
        <v>1.36</v>
      </c>
      <c r="K64" s="49">
        <f t="shared" si="2"/>
        <v>76.307692307692321</v>
      </c>
    </row>
    <row r="65" spans="1:11" x14ac:dyDescent="0.35">
      <c r="A65" s="11"/>
      <c r="B65" s="16">
        <v>1.37</v>
      </c>
      <c r="C65" s="49">
        <f t="shared" si="0"/>
        <v>337.88461538461542</v>
      </c>
      <c r="D65" s="57"/>
      <c r="E65" s="11"/>
      <c r="F65" s="16">
        <v>1.37</v>
      </c>
      <c r="G65" s="49">
        <f t="shared" si="1"/>
        <v>212.38461538461542</v>
      </c>
      <c r="I65" s="11"/>
      <c r="J65" s="16">
        <v>1.37</v>
      </c>
      <c r="K65" s="49">
        <f t="shared" si="2"/>
        <v>77.230769230769241</v>
      </c>
    </row>
    <row r="66" spans="1:11" x14ac:dyDescent="0.35">
      <c r="A66" s="11"/>
      <c r="B66" s="16">
        <v>1.38</v>
      </c>
      <c r="C66" s="49">
        <f t="shared" si="0"/>
        <v>341.92307692307685</v>
      </c>
      <c r="D66" s="57"/>
      <c r="E66" s="11"/>
      <c r="F66" s="16">
        <v>1.38</v>
      </c>
      <c r="G66" s="49">
        <f t="shared" si="1"/>
        <v>214.92307692307688</v>
      </c>
      <c r="I66" s="11"/>
      <c r="J66" s="16">
        <v>1.38</v>
      </c>
      <c r="K66" s="49">
        <f t="shared" si="2"/>
        <v>78.153846153846146</v>
      </c>
    </row>
    <row r="67" spans="1:11" x14ac:dyDescent="0.35">
      <c r="A67" s="11"/>
      <c r="B67" s="16">
        <v>1.39</v>
      </c>
      <c r="C67" s="49">
        <f t="shared" si="0"/>
        <v>345.96153846153845</v>
      </c>
      <c r="D67" s="57"/>
      <c r="E67" s="11"/>
      <c r="F67" s="16">
        <v>1.39</v>
      </c>
      <c r="G67" s="49">
        <f t="shared" si="1"/>
        <v>217.46153846153842</v>
      </c>
      <c r="I67" s="11"/>
      <c r="J67" s="16">
        <v>1.39</v>
      </c>
      <c r="K67" s="49">
        <f t="shared" si="2"/>
        <v>79.076923076923066</v>
      </c>
    </row>
    <row r="68" spans="1:11" x14ac:dyDescent="0.35">
      <c r="A68" s="11"/>
      <c r="B68" s="16">
        <v>1.4</v>
      </c>
      <c r="C68" s="49">
        <f t="shared" ref="C68" si="3">IFERROR(IF(IF(B68&lt;0.75,0,MIN(((262.5/65)*(B68-0.75)*100)+87.5,350,A68))&gt;350,350,IF(B68&lt;0.75,0,MIN(((262.5/65)*(B68-0.75)*100)+87.5,350,A68))),"0")</f>
        <v>349.99999999999994</v>
      </c>
      <c r="D68" s="57"/>
      <c r="E68" s="11"/>
      <c r="F68" s="16">
        <v>1.4</v>
      </c>
      <c r="G68" s="49">
        <f t="shared" ref="G68" si="4">IFERROR(IF(IF(F68&lt;0.75,0,MIN(((165/65)*(F68-0.75)*100)+55,220,E68))&gt;220,220,IF(F68&lt;0.75,0,MIN(((165/65)*(F68-0.75)*100)+55,220,E68))),"0")</f>
        <v>219.99999999999997</v>
      </c>
      <c r="I68" s="11"/>
      <c r="J68" s="16">
        <v>1.4</v>
      </c>
      <c r="K68" s="49">
        <f t="shared" ref="K68" si="5">IFERROR(IF(IF(J68&lt;0.75,0,MIN(((60/65)*(J68-0.75)*100)+20,80,I68))&gt;80,80,IF(J68&lt;0.75,0,MIN(((60/65)*(J68-0.75)*100)+20,80,I68))),"0")</f>
        <v>80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CSR Calculation _Ex.</vt:lpstr>
      <vt:lpstr>VOC</vt:lpstr>
      <vt:lpstr>Scale Order</vt:lpstr>
      <vt:lpstr>CSR Calculation</vt:lpstr>
      <vt:lpstr>Payout Table</vt:lpstr>
    </vt:vector>
  </TitlesOfParts>
  <Company>Omantel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Ibrahim Yousuf Almujeni</dc:creator>
  <cp:lastModifiedBy>Omaima Habib Yousuf Al Balushi</cp:lastModifiedBy>
  <dcterms:created xsi:type="dcterms:W3CDTF">2020-11-18T11:35:34Z</dcterms:created>
  <dcterms:modified xsi:type="dcterms:W3CDTF">2021-08-04T05:15:15Z</dcterms:modified>
</cp:coreProperties>
</file>